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AAGS\Downloads\"/>
    </mc:Choice>
  </mc:AlternateContent>
  <xr:revisionPtr revIDLastSave="0" documentId="13_ncr:1_{7A55B3E6-7081-422F-81EC-947ED9DC25E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Vendor Tiering Tool" sheetId="1" r:id="rId1"/>
    <sheet name="Vendor Summary" sheetId="2" r:id="rId2"/>
    <sheet name="Scoring Guide " sheetId="3" r:id="rId3"/>
    <sheet name="Exam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B7" i="2"/>
  <c r="I27" i="1"/>
  <c r="J27" i="1" s="1"/>
  <c r="K27" i="1" s="1"/>
  <c r="I26" i="1"/>
  <c r="J26" i="1" s="1"/>
  <c r="K26" i="1" s="1"/>
  <c r="I25" i="1"/>
  <c r="J25" i="1" s="1"/>
  <c r="K25" i="1" s="1"/>
  <c r="I24" i="1"/>
  <c r="J24" i="1" s="1"/>
  <c r="K24" i="1" s="1"/>
  <c r="I23" i="1"/>
  <c r="J23" i="1" s="1"/>
  <c r="K23" i="1" s="1"/>
  <c r="I22" i="1"/>
  <c r="J22" i="1" s="1"/>
  <c r="K22" i="1" s="1"/>
  <c r="I21" i="1"/>
  <c r="J21" i="1" s="1"/>
  <c r="K21" i="1" s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l="1"/>
  <c r="F7" i="2"/>
  <c r="E7" i="2"/>
  <c r="D7" i="2"/>
  <c r="C7" i="2"/>
</calcChain>
</file>

<file path=xl/sharedStrings.xml><?xml version="1.0" encoding="utf-8"?>
<sst xmlns="http://schemas.openxmlformats.org/spreadsheetml/2006/main" count="131" uniqueCount="104">
  <si>
    <t>TPRM – Vendor Tiering &amp; Scoring Tool</t>
  </si>
  <si>
    <t xml:space="preserve">  Score each vendor 1–3 per criterion. The tool auto-calculates the weighted score and assigns the Tier.</t>
  </si>
  <si>
    <t>#</t>
  </si>
  <si>
    <t>Vendor Name</t>
  </si>
  <si>
    <t>Service / Product</t>
  </si>
  <si>
    <t>Data Access
(Weight 30%)</t>
  </si>
  <si>
    <t>Financial Impact
(Weight 25%)</t>
  </si>
  <si>
    <t>Operational
Dependency
(Weight 25%)</t>
  </si>
  <si>
    <t>Regulatory
Sensitivity
(Weight 10%)</t>
  </si>
  <si>
    <t>Geographic Risk
(Weight 10%)</t>
  </si>
  <si>
    <t>Weighted
Score</t>
  </si>
  <si>
    <t>Tier</t>
  </si>
  <si>
    <t>Monitoring
Frequency</t>
  </si>
  <si>
    <t>TPRM – Vendor Summary Dashboard</t>
  </si>
  <si>
    <t xml:space="preserve">  Auto-populated from the Vendor Tiering Tool sheet. Vendors appear here once all scores are entered.</t>
  </si>
  <si>
    <t>Total Vendors</t>
  </si>
  <si>
    <t>Critical</t>
  </si>
  <si>
    <t>High</t>
  </si>
  <si>
    <t>Medium</t>
  </si>
  <si>
    <t>Low</t>
  </si>
  <si>
    <t>Weighted Score</t>
  </si>
  <si>
    <t>Monitoring Frequency</t>
  </si>
  <si>
    <t>TPRM Vendor Tiering – Scoring Guide &amp; How the Calculation Works</t>
  </si>
  <si>
    <t xml:space="preserve">  Reference guide: scoring rules, criteria weights, formula and tier mapping — all in one place.</t>
  </si>
  <si>
    <t xml:space="preserve">  STEP 1 — What Do the Scores Mean? (1, 2 or 3)</t>
  </si>
  <si>
    <t>Score</t>
  </si>
  <si>
    <t>Label</t>
  </si>
  <si>
    <t>Meaning</t>
  </si>
  <si>
    <t>1</t>
  </si>
  <si>
    <t>Minimal risk — no/low sensitivity, easily replaceable, low financial impact</t>
  </si>
  <si>
    <t>2</t>
  </si>
  <si>
    <t>Moderate risk — some sensitivity, replaceable with effort, mid-range impact</t>
  </si>
  <si>
    <t>3</t>
  </si>
  <si>
    <t>High risk — sensitive data, critical dependency, high financial/regulatory impact</t>
  </si>
  <si>
    <t xml:space="preserve">  STEP 2 — Scoring Criteria &amp; Weights</t>
  </si>
  <si>
    <t>Criterion</t>
  </si>
  <si>
    <t>Weight</t>
  </si>
  <si>
    <t>Score 1 – Low</t>
  </si>
  <si>
    <t>Score 2 – Medium</t>
  </si>
  <si>
    <t>Score 3 – High</t>
  </si>
  <si>
    <t>Data Access</t>
  </si>
  <si>
    <t>30%</t>
  </si>
  <si>
    <t>No sensitive data</t>
  </si>
  <si>
    <t>Limited PII / business data</t>
  </si>
  <si>
    <t>Sensitive PII, financial or health data</t>
  </si>
  <si>
    <t>Financial Impact</t>
  </si>
  <si>
    <t>25%</t>
  </si>
  <si>
    <t>&lt; $100K annual</t>
  </si>
  <si>
    <t>$100K – $1M annual</t>
  </si>
  <si>
    <t>&gt; $1M or revenue-critical</t>
  </si>
  <si>
    <t>Operational Dependency</t>
  </si>
  <si>
    <t>Easily replaceable</t>
  </si>
  <si>
    <t>Replaceable with effort</t>
  </si>
  <si>
    <t>No alternative / very hard to replace</t>
  </si>
  <si>
    <t>Regulatory Sensitivity</t>
  </si>
  <si>
    <t>10%</t>
  </si>
  <si>
    <t>No regulatory requirement</t>
  </si>
  <si>
    <t>Some regulatory overlap</t>
  </si>
  <si>
    <t>Directly regulated relationship</t>
  </si>
  <si>
    <t>Geographic Risk</t>
  </si>
  <si>
    <t>Same country, stable</t>
  </si>
  <si>
    <t>Different country, stable</t>
  </si>
  <si>
    <t>High-risk geography / jurisdiction</t>
  </si>
  <si>
    <t xml:space="preserve">  STEP 3 — Weighted Score Formula</t>
  </si>
  <si>
    <t>Weighted Score  =  (Data Access × 0.30)  +  (Financial Impact × 0.25)  +  (Operational Dependency × 0.25)  +  (Regulatory Sensitivity × 0.10)  +  (Geographic Risk × 0.10)</t>
  </si>
  <si>
    <t xml:space="preserve">  📌  Example:  Data Access = 3,  Financial Impact = 2,  Operational Dependency = 3,  Regulatory Sensitivity = 2,  Geographic Risk = 1</t>
  </si>
  <si>
    <t xml:space="preserve">  =  (3 × 0.30) + (2 × 0.25) + (3 × 0.25) + (2 × 0.10) + (1 × 0.10)  =  0.90 + 0.50 + 0.75 + 0.20 + 0.10  =  2.45</t>
  </si>
  <si>
    <t xml:space="preserve">  STEP 4 — Tier Assignment</t>
  </si>
  <si>
    <t>Score Range</t>
  </si>
  <si>
    <t>Assessment Required</t>
  </si>
  <si>
    <t>Assessment Depth</t>
  </si>
  <si>
    <t>Who Reviews</t>
  </si>
  <si>
    <t>2.50 – 3.00</t>
  </si>
  <si>
    <t>Full assessment + evidence + interviews</t>
  </si>
  <si>
    <t>Continuous</t>
  </si>
  <si>
    <t>In-depth technical &amp; compliance review</t>
  </si>
  <si>
    <t>CISO / Risk Committee</t>
  </si>
  <si>
    <t>2.00 – 2.49</t>
  </si>
  <si>
    <t>Detailed assessment + evidence review</t>
  </si>
  <si>
    <t>Quarterly</t>
  </si>
  <si>
    <t>Detailed questionnaire + evidence</t>
  </si>
  <si>
    <t>Risk Manager</t>
  </si>
  <si>
    <t>1.50 – 1.99</t>
  </si>
  <si>
    <t>Standard questionnaire</t>
  </si>
  <si>
    <t>Semi-Annual</t>
  </si>
  <si>
    <t>Standard risk questionnaire</t>
  </si>
  <si>
    <t>Procurement / Risk Team</t>
  </si>
  <si>
    <t>1.00 – 1.49</t>
  </si>
  <si>
    <t>Light-touch or self-certification</t>
  </si>
  <si>
    <t>Annual</t>
  </si>
  <si>
    <t>Self-certification form</t>
  </si>
  <si>
    <t>Procurement Team</t>
  </si>
  <si>
    <t xml:space="preserve">  ✅  From the example above:  Score = 2.45  →  Tier = HIGH  →  Monitoring = Quarterly</t>
  </si>
  <si>
    <t>Example: CloudSync (Cloud HR System)</t>
  </si>
  <si>
    <t>Criteria</t>
  </si>
  <si>
    <t>Weighted Value</t>
  </si>
  <si>
    <t>Description</t>
  </si>
  <si>
    <t>Processes employee PII incl. payroll</t>
  </si>
  <si>
    <t>$500K annual contract</t>
  </si>
  <si>
    <t>No alternative in place</t>
  </si>
  <si>
    <t>Subject to data privacy regulations</t>
  </si>
  <si>
    <t>Same country</t>
  </si>
  <si>
    <t>TOTAL WEIGHTED SCORE</t>
  </si>
  <si>
    <t>→ HIGH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</si>
</sst>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FF000F"/>
      <name val="Calibri"/>
      <family val="2"/>
    </font>
    <font>
      <b/>
      <sz val="12"/>
      <color rgb="FF000000"/>
      <name val="Calibri"/>
      <family val="2"/>
    </font>
    <font>
      <b/>
      <sz val="17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F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C00000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70AD47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66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EBF5E0"/>
        </patternFill>
      </fill>
    </dxf>
    <dxf>
      <fill>
        <patternFill patternType="solid">
          <fgColor rgb="FFFFF8E5"/>
        </patternFill>
      </fill>
    </dxf>
    <dxf>
      <fill>
        <patternFill patternType="solid">
          <fgColor rgb="FFFFF0E5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6600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" customWidth="1"/>
    <col min="2" max="3" width="28" customWidth="1"/>
    <col min="4" max="4" width="20" customWidth="1"/>
    <col min="5" max="8" width="22" customWidth="1"/>
    <col min="9" max="9" width="20" customWidth="1"/>
    <col min="10" max="11" width="18" customWidth="1"/>
  </cols>
  <sheetData>
    <row r="1" spans="1:11" ht="14" customHeight="1" x14ac:dyDescent="0.35"/>
    <row r="2" spans="1:11" ht="40" customHeight="1" x14ac:dyDescent="0.35">
      <c r="B2" s="51" t="s">
        <v>0</v>
      </c>
      <c r="C2" s="52"/>
      <c r="D2" s="52"/>
      <c r="E2" s="52"/>
      <c r="F2" s="52"/>
      <c r="G2" s="52"/>
      <c r="H2" s="52"/>
      <c r="I2" s="52"/>
      <c r="J2" s="52"/>
      <c r="K2" s="53"/>
    </row>
    <row r="3" spans="1:11" ht="14" customHeight="1" x14ac:dyDescent="0.35">
      <c r="B3" s="50"/>
      <c r="C3" s="49"/>
      <c r="D3" s="49"/>
      <c r="E3" s="49"/>
      <c r="F3" s="49"/>
      <c r="G3" s="49"/>
      <c r="H3" s="49"/>
      <c r="I3" s="49"/>
      <c r="J3" s="49"/>
      <c r="K3" s="49"/>
    </row>
    <row r="4" spans="1:11" ht="28" customHeight="1" x14ac:dyDescent="0.35">
      <c r="B4" s="48" t="s">
        <v>1</v>
      </c>
      <c r="C4" s="49"/>
      <c r="D4" s="49"/>
      <c r="E4" s="49"/>
      <c r="F4" s="49"/>
      <c r="G4" s="49"/>
      <c r="H4" s="49"/>
      <c r="I4" s="49"/>
      <c r="J4" s="49"/>
      <c r="K4" s="49"/>
    </row>
    <row r="5" spans="1:11" ht="14" customHeight="1" x14ac:dyDescent="0.35"/>
    <row r="6" spans="1:11" ht="14" customHeight="1" x14ac:dyDescent="0.35"/>
    <row r="7" spans="1:11" ht="36" customHeight="1" x14ac:dyDescent="0.3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</row>
    <row r="8" spans="1:11" ht="22" customHeight="1" x14ac:dyDescent="0.35">
      <c r="A8" s="2">
        <v>1</v>
      </c>
      <c r="B8" s="3"/>
      <c r="C8" s="3"/>
      <c r="D8" s="4"/>
      <c r="E8" s="4"/>
      <c r="F8" s="4"/>
      <c r="G8" s="4"/>
      <c r="H8" s="4"/>
      <c r="I8" s="21" t="str">
        <f t="shared" ref="I8:I27" si="0">IF(AND(D8&lt;&gt;"",E8&lt;&gt;"",F8&lt;&gt;"",G8&lt;&gt;"",H8&lt;&gt;""),VALUE(LEFT(D8,1))*0.3+VALUE(LEFT(E8,1))*0.25+VALUE(LEFT(F8,1))*0.25+VALUE(LEFT(G8,1))*0.1+VALUE(LEFT(H8,1))*0.1,"")</f>
        <v/>
      </c>
      <c r="J8" s="34" t="str">
        <f t="shared" ref="J8:J27" si="1">IF(I8="","",IF(I8&gt;=2.5,"Critical",IF(I8&gt;=2,"High",IF(I8&gt;=1.5,"Medium","Low"))))</f>
        <v/>
      </c>
      <c r="K8" s="22" t="str">
        <f t="shared" ref="K8:K27" si="2">IF(J8="","",IF(J8="Critical","Continuous",IF(J8="High","Quarterly",IF(J8="Medium","Semi-Annual","Annual"))))</f>
        <v/>
      </c>
    </row>
    <row r="9" spans="1:11" ht="22" customHeight="1" x14ac:dyDescent="0.35">
      <c r="A9" s="6">
        <v>2</v>
      </c>
      <c r="B9" s="7"/>
      <c r="C9" s="7"/>
      <c r="D9" s="8"/>
      <c r="E9" s="8"/>
      <c r="F9" s="8"/>
      <c r="G9" s="8"/>
      <c r="H9" s="8"/>
      <c r="I9" s="23" t="str">
        <f t="shared" si="0"/>
        <v/>
      </c>
      <c r="J9" s="35" t="str">
        <f t="shared" si="1"/>
        <v/>
      </c>
      <c r="K9" s="24" t="str">
        <f t="shared" si="2"/>
        <v/>
      </c>
    </row>
    <row r="10" spans="1:11" ht="22" customHeight="1" x14ac:dyDescent="0.35">
      <c r="A10" s="2">
        <v>3</v>
      </c>
      <c r="B10" s="3"/>
      <c r="C10" s="3"/>
      <c r="D10" s="4"/>
      <c r="E10" s="4"/>
      <c r="F10" s="4"/>
      <c r="G10" s="4"/>
      <c r="H10" s="4"/>
      <c r="I10" s="21" t="str">
        <f t="shared" si="0"/>
        <v/>
      </c>
      <c r="J10" s="34" t="str">
        <f t="shared" si="1"/>
        <v/>
      </c>
      <c r="K10" s="22" t="str">
        <f t="shared" si="2"/>
        <v/>
      </c>
    </row>
    <row r="11" spans="1:11" ht="22" customHeight="1" x14ac:dyDescent="0.35">
      <c r="A11" s="6">
        <v>4</v>
      </c>
      <c r="B11" s="7"/>
      <c r="C11" s="7"/>
      <c r="D11" s="8"/>
      <c r="E11" s="8"/>
      <c r="F11" s="8"/>
      <c r="G11" s="8"/>
      <c r="H11" s="8"/>
      <c r="I11" s="23" t="str">
        <f t="shared" si="0"/>
        <v/>
      </c>
      <c r="J11" s="35" t="str">
        <f t="shared" si="1"/>
        <v/>
      </c>
      <c r="K11" s="24" t="str">
        <f t="shared" si="2"/>
        <v/>
      </c>
    </row>
    <row r="12" spans="1:11" ht="22" customHeight="1" x14ac:dyDescent="0.35">
      <c r="A12" s="2">
        <v>5</v>
      </c>
      <c r="B12" s="3"/>
      <c r="C12" s="3"/>
      <c r="D12" s="4"/>
      <c r="E12" s="4"/>
      <c r="F12" s="4"/>
      <c r="G12" s="4"/>
      <c r="H12" s="4"/>
      <c r="I12" s="21" t="str">
        <f t="shared" si="0"/>
        <v/>
      </c>
      <c r="J12" s="34" t="str">
        <f t="shared" si="1"/>
        <v/>
      </c>
      <c r="K12" s="22" t="str">
        <f t="shared" si="2"/>
        <v/>
      </c>
    </row>
    <row r="13" spans="1:11" ht="22" customHeight="1" x14ac:dyDescent="0.35">
      <c r="A13" s="6">
        <v>6</v>
      </c>
      <c r="B13" s="7"/>
      <c r="C13" s="7"/>
      <c r="D13" s="8"/>
      <c r="E13" s="8"/>
      <c r="F13" s="8"/>
      <c r="G13" s="8"/>
      <c r="H13" s="8"/>
      <c r="I13" s="23" t="str">
        <f t="shared" si="0"/>
        <v/>
      </c>
      <c r="J13" s="35" t="str">
        <f t="shared" si="1"/>
        <v/>
      </c>
      <c r="K13" s="24" t="str">
        <f t="shared" si="2"/>
        <v/>
      </c>
    </row>
    <row r="14" spans="1:11" ht="22" customHeight="1" x14ac:dyDescent="0.35">
      <c r="A14" s="2">
        <v>7</v>
      </c>
      <c r="B14" s="3"/>
      <c r="C14" s="3"/>
      <c r="D14" s="4"/>
      <c r="E14" s="4"/>
      <c r="F14" s="4"/>
      <c r="G14" s="4"/>
      <c r="H14" s="4"/>
      <c r="I14" s="21" t="str">
        <f t="shared" si="0"/>
        <v/>
      </c>
      <c r="J14" s="34" t="str">
        <f t="shared" si="1"/>
        <v/>
      </c>
      <c r="K14" s="22" t="str">
        <f t="shared" si="2"/>
        <v/>
      </c>
    </row>
    <row r="15" spans="1:11" ht="22" customHeight="1" x14ac:dyDescent="0.35">
      <c r="A15" s="6">
        <v>8</v>
      </c>
      <c r="B15" s="7"/>
      <c r="C15" s="7"/>
      <c r="D15" s="8"/>
      <c r="E15" s="8"/>
      <c r="F15" s="8"/>
      <c r="G15" s="8"/>
      <c r="H15" s="8"/>
      <c r="I15" s="23" t="str">
        <f t="shared" si="0"/>
        <v/>
      </c>
      <c r="J15" s="35" t="str">
        <f t="shared" si="1"/>
        <v/>
      </c>
      <c r="K15" s="24" t="str">
        <f t="shared" si="2"/>
        <v/>
      </c>
    </row>
    <row r="16" spans="1:11" ht="22" customHeight="1" x14ac:dyDescent="0.35">
      <c r="A16" s="2">
        <v>9</v>
      </c>
      <c r="B16" s="3"/>
      <c r="C16" s="3"/>
      <c r="D16" s="4"/>
      <c r="E16" s="4"/>
      <c r="F16" s="4"/>
      <c r="G16" s="4"/>
      <c r="H16" s="4"/>
      <c r="I16" s="21" t="str">
        <f t="shared" si="0"/>
        <v/>
      </c>
      <c r="J16" s="34" t="str">
        <f t="shared" si="1"/>
        <v/>
      </c>
      <c r="K16" s="22" t="str">
        <f t="shared" si="2"/>
        <v/>
      </c>
    </row>
    <row r="17" spans="1:11" ht="22" customHeight="1" x14ac:dyDescent="0.35">
      <c r="A17" s="6">
        <v>10</v>
      </c>
      <c r="B17" s="7"/>
      <c r="C17" s="7"/>
      <c r="D17" s="8"/>
      <c r="E17" s="8"/>
      <c r="F17" s="8"/>
      <c r="G17" s="8"/>
      <c r="H17" s="8"/>
      <c r="I17" s="23" t="str">
        <f t="shared" si="0"/>
        <v/>
      </c>
      <c r="J17" s="35" t="str">
        <f t="shared" si="1"/>
        <v/>
      </c>
      <c r="K17" s="24" t="str">
        <f t="shared" si="2"/>
        <v/>
      </c>
    </row>
    <row r="18" spans="1:11" ht="22" customHeight="1" x14ac:dyDescent="0.35">
      <c r="A18" s="2">
        <v>11</v>
      </c>
      <c r="B18" s="3"/>
      <c r="C18" s="3"/>
      <c r="D18" s="4"/>
      <c r="E18" s="4"/>
      <c r="F18" s="4"/>
      <c r="G18" s="4"/>
      <c r="H18" s="4"/>
      <c r="I18" s="21" t="str">
        <f t="shared" si="0"/>
        <v/>
      </c>
      <c r="J18" s="34" t="str">
        <f t="shared" si="1"/>
        <v/>
      </c>
      <c r="K18" s="22" t="str">
        <f t="shared" si="2"/>
        <v/>
      </c>
    </row>
    <row r="19" spans="1:11" ht="22" customHeight="1" x14ac:dyDescent="0.35">
      <c r="A19" s="6">
        <v>12</v>
      </c>
      <c r="B19" s="7"/>
      <c r="C19" s="7"/>
      <c r="D19" s="8"/>
      <c r="E19" s="8"/>
      <c r="F19" s="8"/>
      <c r="G19" s="8"/>
      <c r="H19" s="8"/>
      <c r="I19" s="23" t="str">
        <f t="shared" si="0"/>
        <v/>
      </c>
      <c r="J19" s="35" t="str">
        <f t="shared" si="1"/>
        <v/>
      </c>
      <c r="K19" s="24" t="str">
        <f t="shared" si="2"/>
        <v/>
      </c>
    </row>
    <row r="20" spans="1:11" ht="22" customHeight="1" x14ac:dyDescent="0.35">
      <c r="A20" s="2">
        <v>13</v>
      </c>
      <c r="B20" s="3"/>
      <c r="C20" s="3"/>
      <c r="D20" s="4"/>
      <c r="E20" s="4"/>
      <c r="F20" s="4"/>
      <c r="G20" s="4"/>
      <c r="H20" s="4"/>
      <c r="I20" s="21" t="str">
        <f t="shared" si="0"/>
        <v/>
      </c>
      <c r="J20" s="34" t="str">
        <f t="shared" si="1"/>
        <v/>
      </c>
      <c r="K20" s="22" t="str">
        <f t="shared" si="2"/>
        <v/>
      </c>
    </row>
    <row r="21" spans="1:11" ht="22" customHeight="1" x14ac:dyDescent="0.35">
      <c r="A21" s="6">
        <v>14</v>
      </c>
      <c r="B21" s="7"/>
      <c r="C21" s="7"/>
      <c r="D21" s="8"/>
      <c r="E21" s="8"/>
      <c r="F21" s="8"/>
      <c r="G21" s="8"/>
      <c r="H21" s="8"/>
      <c r="I21" s="23" t="str">
        <f t="shared" si="0"/>
        <v/>
      </c>
      <c r="J21" s="35" t="str">
        <f t="shared" si="1"/>
        <v/>
      </c>
      <c r="K21" s="24" t="str">
        <f t="shared" si="2"/>
        <v/>
      </c>
    </row>
    <row r="22" spans="1:11" ht="22" customHeight="1" x14ac:dyDescent="0.35">
      <c r="A22" s="2">
        <v>15</v>
      </c>
      <c r="B22" s="3"/>
      <c r="C22" s="3"/>
      <c r="D22" s="4"/>
      <c r="E22" s="4"/>
      <c r="F22" s="4"/>
      <c r="G22" s="4"/>
      <c r="H22" s="4"/>
      <c r="I22" s="21" t="str">
        <f t="shared" si="0"/>
        <v/>
      </c>
      <c r="J22" s="34" t="str">
        <f t="shared" si="1"/>
        <v/>
      </c>
      <c r="K22" s="22" t="str">
        <f t="shared" si="2"/>
        <v/>
      </c>
    </row>
    <row r="23" spans="1:11" ht="22" customHeight="1" x14ac:dyDescent="0.35">
      <c r="A23" s="6">
        <v>16</v>
      </c>
      <c r="B23" s="7"/>
      <c r="C23" s="7"/>
      <c r="D23" s="8"/>
      <c r="E23" s="8"/>
      <c r="F23" s="8"/>
      <c r="G23" s="8"/>
      <c r="H23" s="8"/>
      <c r="I23" s="23" t="str">
        <f t="shared" si="0"/>
        <v/>
      </c>
      <c r="J23" s="35" t="str">
        <f t="shared" si="1"/>
        <v/>
      </c>
      <c r="K23" s="24" t="str">
        <f t="shared" si="2"/>
        <v/>
      </c>
    </row>
    <row r="24" spans="1:11" ht="22" customHeight="1" x14ac:dyDescent="0.35">
      <c r="A24" s="2">
        <v>17</v>
      </c>
      <c r="B24" s="3"/>
      <c r="C24" s="3"/>
      <c r="D24" s="4"/>
      <c r="E24" s="4"/>
      <c r="F24" s="4"/>
      <c r="G24" s="4"/>
      <c r="H24" s="4"/>
      <c r="I24" s="21" t="str">
        <f t="shared" si="0"/>
        <v/>
      </c>
      <c r="J24" s="34" t="str">
        <f t="shared" si="1"/>
        <v/>
      </c>
      <c r="K24" s="22" t="str">
        <f t="shared" si="2"/>
        <v/>
      </c>
    </row>
    <row r="25" spans="1:11" ht="22" customHeight="1" x14ac:dyDescent="0.35">
      <c r="A25" s="6">
        <v>18</v>
      </c>
      <c r="B25" s="7"/>
      <c r="C25" s="7"/>
      <c r="D25" s="8"/>
      <c r="E25" s="8"/>
      <c r="F25" s="8"/>
      <c r="G25" s="8"/>
      <c r="H25" s="8"/>
      <c r="I25" s="23" t="str">
        <f t="shared" si="0"/>
        <v/>
      </c>
      <c r="J25" s="35" t="str">
        <f t="shared" si="1"/>
        <v/>
      </c>
      <c r="K25" s="24" t="str">
        <f t="shared" si="2"/>
        <v/>
      </c>
    </row>
    <row r="26" spans="1:11" ht="22" customHeight="1" x14ac:dyDescent="0.35">
      <c r="A26" s="2">
        <v>19</v>
      </c>
      <c r="B26" s="3"/>
      <c r="C26" s="3"/>
      <c r="D26" s="4"/>
      <c r="E26" s="4"/>
      <c r="F26" s="4"/>
      <c r="G26" s="4"/>
      <c r="H26" s="4"/>
      <c r="I26" s="21" t="str">
        <f t="shared" si="0"/>
        <v/>
      </c>
      <c r="J26" s="34" t="str">
        <f t="shared" si="1"/>
        <v/>
      </c>
      <c r="K26" s="22" t="str">
        <f t="shared" si="2"/>
        <v/>
      </c>
    </row>
    <row r="27" spans="1:11" ht="22" customHeight="1" x14ac:dyDescent="0.35">
      <c r="A27" s="6">
        <v>20</v>
      </c>
      <c r="B27" s="7"/>
      <c r="C27" s="7"/>
      <c r="D27" s="8"/>
      <c r="E27" s="8"/>
      <c r="F27" s="8"/>
      <c r="G27" s="8"/>
      <c r="H27" s="8"/>
      <c r="I27" s="23" t="str">
        <f t="shared" si="0"/>
        <v/>
      </c>
      <c r="J27" s="35" t="str">
        <f t="shared" si="1"/>
        <v/>
      </c>
      <c r="K27" s="24" t="str">
        <f t="shared" si="2"/>
        <v/>
      </c>
    </row>
  </sheetData>
  <mergeCells count="3">
    <mergeCell ref="B4:K4"/>
    <mergeCell ref="B3:K3"/>
    <mergeCell ref="B2:K2"/>
  </mergeCells>
  <conditionalFormatting sqref="J8:J27">
    <cfRule type="expression" dxfId="11" priority="9">
      <formula>J8="Critical"</formula>
    </cfRule>
    <cfRule type="expression" dxfId="10" priority="10">
      <formula>J8="High"</formula>
    </cfRule>
    <cfRule type="expression" dxfId="9" priority="11">
      <formula>J8="Medium"</formula>
    </cfRule>
    <cfRule type="expression" dxfId="8" priority="12">
      <formula>J8="Low"</formula>
    </cfRule>
  </conditionalFormatting>
  <conditionalFormatting sqref="K8:K27">
    <cfRule type="expression" dxfId="7" priority="13">
      <formula>J8="Critical"</formula>
    </cfRule>
    <cfRule type="expression" dxfId="6" priority="14">
      <formula>J8="High"</formula>
    </cfRule>
    <cfRule type="expression" dxfId="5" priority="15">
      <formula>J8="Medium"</formula>
    </cfRule>
    <cfRule type="expression" dxfId="4" priority="16">
      <formula>J8="Low"</formula>
    </cfRule>
  </conditionalFormatting>
  <dataValidations count="1">
    <dataValidation type="list" sqref="D8:H27" xr:uid="{00000000-0002-0000-0000-000000000000}">
      <formula1>"1 - Low,2 - Medium,3 - 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" customWidth="1"/>
    <col min="2" max="2" width="30" customWidth="1"/>
    <col min="3" max="3" width="26" customWidth="1"/>
    <col min="4" max="5" width="18" customWidth="1"/>
    <col min="6" max="6" width="20" customWidth="1"/>
  </cols>
  <sheetData>
    <row r="2" spans="1:6" ht="38" customHeight="1" x14ac:dyDescent="0.35">
      <c r="B2" s="51" t="s">
        <v>13</v>
      </c>
      <c r="C2" s="52"/>
      <c r="D2" s="52"/>
      <c r="E2" s="52"/>
      <c r="F2" s="53"/>
    </row>
    <row r="3" spans="1:6" ht="14" customHeight="1" x14ac:dyDescent="0.35">
      <c r="B3" s="50"/>
      <c r="C3" s="49"/>
      <c r="D3" s="49"/>
      <c r="E3" s="49"/>
      <c r="F3" s="49"/>
    </row>
    <row r="4" spans="1:6" ht="24" customHeight="1" x14ac:dyDescent="0.35">
      <c r="B4" s="48" t="s">
        <v>14</v>
      </c>
      <c r="C4" s="49"/>
      <c r="D4" s="49"/>
      <c r="E4" s="49"/>
      <c r="F4" s="49"/>
    </row>
    <row r="5" spans="1:6" ht="10" customHeight="1" x14ac:dyDescent="0.35"/>
    <row r="6" spans="1:6" ht="26" customHeight="1" x14ac:dyDescent="0.35">
      <c r="B6" s="13" t="s">
        <v>15</v>
      </c>
      <c r="C6" s="25" t="s">
        <v>16</v>
      </c>
      <c r="D6" s="26" t="s">
        <v>17</v>
      </c>
      <c r="E6" s="27" t="s">
        <v>18</v>
      </c>
      <c r="F6" s="28" t="s">
        <v>19</v>
      </c>
    </row>
    <row r="7" spans="1:6" ht="26" customHeight="1" x14ac:dyDescent="0.35">
      <c r="B7" s="29">
        <f>COUNTA('Vendor Tiering Tool'!B8:B27)</f>
        <v>0</v>
      </c>
      <c r="C7" s="29">
        <f>COUNTIF('Vendor Tiering Tool'!J8:J27,"Critical")</f>
        <v>0</v>
      </c>
      <c r="D7" s="29">
        <f>COUNTIF('Vendor Tiering Tool'!J8:J27,"High")</f>
        <v>0</v>
      </c>
      <c r="E7" s="29">
        <f>COUNTIF('Vendor Tiering Tool'!J8:J27,"Medium")</f>
        <v>0</v>
      </c>
      <c r="F7" s="29">
        <f>COUNTIF('Vendor Tiering Tool'!J8:J27,"Low")</f>
        <v>0</v>
      </c>
    </row>
    <row r="8" spans="1:6" ht="10" customHeight="1" x14ac:dyDescent="0.35"/>
    <row r="9" spans="1:6" ht="30" customHeight="1" x14ac:dyDescent="0.35">
      <c r="A9" s="1" t="s">
        <v>2</v>
      </c>
      <c r="B9" s="1" t="s">
        <v>3</v>
      </c>
      <c r="C9" s="1" t="s">
        <v>4</v>
      </c>
      <c r="D9" s="1" t="s">
        <v>20</v>
      </c>
      <c r="E9" s="1" t="s">
        <v>11</v>
      </c>
      <c r="F9" s="1" t="s">
        <v>21</v>
      </c>
    </row>
    <row r="10" spans="1:6" ht="22" customHeight="1" x14ac:dyDescent="0.35">
      <c r="A10" s="2" t="str">
        <f>IF('Vendor Tiering Tool'!B8="","",1)</f>
        <v/>
      </c>
      <c r="B10" s="30" t="str">
        <f>IF('Vendor Tiering Tool'!B8="","",'Vendor Tiering Tool'!B8)</f>
        <v/>
      </c>
      <c r="C10" s="31" t="str">
        <f>IF('Vendor Tiering Tool'!B8="","",'Vendor Tiering Tool'!C8)</f>
        <v/>
      </c>
      <c r="D10" s="5" t="str">
        <f>IF('Vendor Tiering Tool'!B8="","",'Vendor Tiering Tool'!I8)</f>
        <v/>
      </c>
      <c r="E10" s="22" t="str">
        <f>IF('Vendor Tiering Tool'!B8="","",'Vendor Tiering Tool'!J8)</f>
        <v/>
      </c>
      <c r="F10" s="22" t="str">
        <f>IF('Vendor Tiering Tool'!B8="","",'Vendor Tiering Tool'!K8)</f>
        <v/>
      </c>
    </row>
    <row r="11" spans="1:6" ht="22" customHeight="1" x14ac:dyDescent="0.35">
      <c r="A11" s="6" t="str">
        <f>IF('Vendor Tiering Tool'!B9="","",2)</f>
        <v/>
      </c>
      <c r="B11" s="32" t="str">
        <f>IF('Vendor Tiering Tool'!B9="","",'Vendor Tiering Tool'!B9)</f>
        <v/>
      </c>
      <c r="C11" s="33" t="str">
        <f>IF('Vendor Tiering Tool'!B9="","",'Vendor Tiering Tool'!C9)</f>
        <v/>
      </c>
      <c r="D11" s="9" t="str">
        <f>IF('Vendor Tiering Tool'!B9="","",'Vendor Tiering Tool'!I9)</f>
        <v/>
      </c>
      <c r="E11" s="24" t="str">
        <f>IF('Vendor Tiering Tool'!B9="","",'Vendor Tiering Tool'!J9)</f>
        <v/>
      </c>
      <c r="F11" s="24" t="str">
        <f>IF('Vendor Tiering Tool'!B9="","",'Vendor Tiering Tool'!K9)</f>
        <v/>
      </c>
    </row>
    <row r="12" spans="1:6" ht="22" customHeight="1" x14ac:dyDescent="0.35">
      <c r="A12" s="2" t="str">
        <f>IF('Vendor Tiering Tool'!B10="","",3)</f>
        <v/>
      </c>
      <c r="B12" s="30" t="str">
        <f>IF('Vendor Tiering Tool'!B10="","",'Vendor Tiering Tool'!B10)</f>
        <v/>
      </c>
      <c r="C12" s="31" t="str">
        <f>IF('Vendor Tiering Tool'!B10="","",'Vendor Tiering Tool'!C10)</f>
        <v/>
      </c>
      <c r="D12" s="5" t="str">
        <f>IF('Vendor Tiering Tool'!B10="","",'Vendor Tiering Tool'!I10)</f>
        <v/>
      </c>
      <c r="E12" s="22" t="str">
        <f>IF('Vendor Tiering Tool'!B10="","",'Vendor Tiering Tool'!J10)</f>
        <v/>
      </c>
      <c r="F12" s="22" t="str">
        <f>IF('Vendor Tiering Tool'!B10="","",'Vendor Tiering Tool'!K10)</f>
        <v/>
      </c>
    </row>
    <row r="13" spans="1:6" ht="22" customHeight="1" x14ac:dyDescent="0.35">
      <c r="A13" s="6" t="str">
        <f>IF('Vendor Tiering Tool'!B11="","",4)</f>
        <v/>
      </c>
      <c r="B13" s="32" t="str">
        <f>IF('Vendor Tiering Tool'!B11="","",'Vendor Tiering Tool'!B11)</f>
        <v/>
      </c>
      <c r="C13" s="33" t="str">
        <f>IF('Vendor Tiering Tool'!B11="","",'Vendor Tiering Tool'!C11)</f>
        <v/>
      </c>
      <c r="D13" s="9" t="str">
        <f>IF('Vendor Tiering Tool'!B11="","",'Vendor Tiering Tool'!I11)</f>
        <v/>
      </c>
      <c r="E13" s="24" t="str">
        <f>IF('Vendor Tiering Tool'!B11="","",'Vendor Tiering Tool'!J11)</f>
        <v/>
      </c>
      <c r="F13" s="24" t="str">
        <f>IF('Vendor Tiering Tool'!B11="","",'Vendor Tiering Tool'!K11)</f>
        <v/>
      </c>
    </row>
    <row r="14" spans="1:6" ht="22" customHeight="1" x14ac:dyDescent="0.35">
      <c r="A14" s="2" t="str">
        <f>IF('Vendor Tiering Tool'!B12="","",5)</f>
        <v/>
      </c>
      <c r="B14" s="30" t="str">
        <f>IF('Vendor Tiering Tool'!B12="","",'Vendor Tiering Tool'!B12)</f>
        <v/>
      </c>
      <c r="C14" s="31" t="str">
        <f>IF('Vendor Tiering Tool'!B12="","",'Vendor Tiering Tool'!C12)</f>
        <v/>
      </c>
      <c r="D14" s="5" t="str">
        <f>IF('Vendor Tiering Tool'!B12="","",'Vendor Tiering Tool'!I12)</f>
        <v/>
      </c>
      <c r="E14" s="22" t="str">
        <f>IF('Vendor Tiering Tool'!B12="","",'Vendor Tiering Tool'!J12)</f>
        <v/>
      </c>
      <c r="F14" s="22" t="str">
        <f>IF('Vendor Tiering Tool'!B12="","",'Vendor Tiering Tool'!K12)</f>
        <v/>
      </c>
    </row>
    <row r="15" spans="1:6" ht="22" customHeight="1" x14ac:dyDescent="0.35">
      <c r="A15" s="6" t="str">
        <f>IF('Vendor Tiering Tool'!B13="","",6)</f>
        <v/>
      </c>
      <c r="B15" s="32" t="str">
        <f>IF('Vendor Tiering Tool'!B13="","",'Vendor Tiering Tool'!B13)</f>
        <v/>
      </c>
      <c r="C15" s="33" t="str">
        <f>IF('Vendor Tiering Tool'!B13="","",'Vendor Tiering Tool'!C13)</f>
        <v/>
      </c>
      <c r="D15" s="9" t="str">
        <f>IF('Vendor Tiering Tool'!B13="","",'Vendor Tiering Tool'!I13)</f>
        <v/>
      </c>
      <c r="E15" s="24" t="str">
        <f>IF('Vendor Tiering Tool'!B13="","",'Vendor Tiering Tool'!J13)</f>
        <v/>
      </c>
      <c r="F15" s="24" t="str">
        <f>IF('Vendor Tiering Tool'!B13="","",'Vendor Tiering Tool'!K13)</f>
        <v/>
      </c>
    </row>
    <row r="16" spans="1:6" ht="22" customHeight="1" x14ac:dyDescent="0.35">
      <c r="A16" s="2" t="str">
        <f>IF('Vendor Tiering Tool'!B14="","",7)</f>
        <v/>
      </c>
      <c r="B16" s="30" t="str">
        <f>IF('Vendor Tiering Tool'!B14="","",'Vendor Tiering Tool'!B14)</f>
        <v/>
      </c>
      <c r="C16" s="31" t="str">
        <f>IF('Vendor Tiering Tool'!B14="","",'Vendor Tiering Tool'!C14)</f>
        <v/>
      </c>
      <c r="D16" s="5" t="str">
        <f>IF('Vendor Tiering Tool'!B14="","",'Vendor Tiering Tool'!I14)</f>
        <v/>
      </c>
      <c r="E16" s="22" t="str">
        <f>IF('Vendor Tiering Tool'!B14="","",'Vendor Tiering Tool'!J14)</f>
        <v/>
      </c>
      <c r="F16" s="22" t="str">
        <f>IF('Vendor Tiering Tool'!B14="","",'Vendor Tiering Tool'!K14)</f>
        <v/>
      </c>
    </row>
    <row r="17" spans="1:6" ht="22" customHeight="1" x14ac:dyDescent="0.35">
      <c r="A17" s="6" t="str">
        <f>IF('Vendor Tiering Tool'!B15="","",8)</f>
        <v/>
      </c>
      <c r="B17" s="32" t="str">
        <f>IF('Vendor Tiering Tool'!B15="","",'Vendor Tiering Tool'!B15)</f>
        <v/>
      </c>
      <c r="C17" s="33" t="str">
        <f>IF('Vendor Tiering Tool'!B15="","",'Vendor Tiering Tool'!C15)</f>
        <v/>
      </c>
      <c r="D17" s="9" t="str">
        <f>IF('Vendor Tiering Tool'!B15="","",'Vendor Tiering Tool'!I15)</f>
        <v/>
      </c>
      <c r="E17" s="24" t="str">
        <f>IF('Vendor Tiering Tool'!B15="","",'Vendor Tiering Tool'!J15)</f>
        <v/>
      </c>
      <c r="F17" s="24" t="str">
        <f>IF('Vendor Tiering Tool'!B15="","",'Vendor Tiering Tool'!K15)</f>
        <v/>
      </c>
    </row>
    <row r="18" spans="1:6" ht="22" customHeight="1" x14ac:dyDescent="0.35">
      <c r="A18" s="2" t="str">
        <f>IF('Vendor Tiering Tool'!B16="","",9)</f>
        <v/>
      </c>
      <c r="B18" s="30" t="str">
        <f>IF('Vendor Tiering Tool'!B16="","",'Vendor Tiering Tool'!B16)</f>
        <v/>
      </c>
      <c r="C18" s="31" t="str">
        <f>IF('Vendor Tiering Tool'!B16="","",'Vendor Tiering Tool'!C16)</f>
        <v/>
      </c>
      <c r="D18" s="5" t="str">
        <f>IF('Vendor Tiering Tool'!B16="","",'Vendor Tiering Tool'!I16)</f>
        <v/>
      </c>
      <c r="E18" s="22" t="str">
        <f>IF('Vendor Tiering Tool'!B16="","",'Vendor Tiering Tool'!J16)</f>
        <v/>
      </c>
      <c r="F18" s="22" t="str">
        <f>IF('Vendor Tiering Tool'!B16="","",'Vendor Tiering Tool'!K16)</f>
        <v/>
      </c>
    </row>
    <row r="19" spans="1:6" ht="22" customHeight="1" x14ac:dyDescent="0.35">
      <c r="A19" s="6" t="str">
        <f>IF('Vendor Tiering Tool'!B17="","",10)</f>
        <v/>
      </c>
      <c r="B19" s="32" t="str">
        <f>IF('Vendor Tiering Tool'!B17="","",'Vendor Tiering Tool'!B17)</f>
        <v/>
      </c>
      <c r="C19" s="33" t="str">
        <f>IF('Vendor Tiering Tool'!B17="","",'Vendor Tiering Tool'!C17)</f>
        <v/>
      </c>
      <c r="D19" s="9" t="str">
        <f>IF('Vendor Tiering Tool'!B17="","",'Vendor Tiering Tool'!I17)</f>
        <v/>
      </c>
      <c r="E19" s="24" t="str">
        <f>IF('Vendor Tiering Tool'!B17="","",'Vendor Tiering Tool'!J17)</f>
        <v/>
      </c>
      <c r="F19" s="24" t="str">
        <f>IF('Vendor Tiering Tool'!B17="","",'Vendor Tiering Tool'!K17)</f>
        <v/>
      </c>
    </row>
    <row r="20" spans="1:6" ht="22" customHeight="1" x14ac:dyDescent="0.35">
      <c r="A20" s="2" t="str">
        <f>IF('Vendor Tiering Tool'!B18="","",11)</f>
        <v/>
      </c>
      <c r="B20" s="30" t="str">
        <f>IF('Vendor Tiering Tool'!B18="","",'Vendor Tiering Tool'!B18)</f>
        <v/>
      </c>
      <c r="C20" s="31" t="str">
        <f>IF('Vendor Tiering Tool'!B18="","",'Vendor Tiering Tool'!C18)</f>
        <v/>
      </c>
      <c r="D20" s="5" t="str">
        <f>IF('Vendor Tiering Tool'!B18="","",'Vendor Tiering Tool'!I18)</f>
        <v/>
      </c>
      <c r="E20" s="22" t="str">
        <f>IF('Vendor Tiering Tool'!B18="","",'Vendor Tiering Tool'!J18)</f>
        <v/>
      </c>
      <c r="F20" s="22" t="str">
        <f>IF('Vendor Tiering Tool'!B18="","",'Vendor Tiering Tool'!K18)</f>
        <v/>
      </c>
    </row>
    <row r="21" spans="1:6" ht="22" customHeight="1" x14ac:dyDescent="0.35">
      <c r="A21" s="6" t="str">
        <f>IF('Vendor Tiering Tool'!B19="","",12)</f>
        <v/>
      </c>
      <c r="B21" s="32" t="str">
        <f>IF('Vendor Tiering Tool'!B19="","",'Vendor Tiering Tool'!B19)</f>
        <v/>
      </c>
      <c r="C21" s="33" t="str">
        <f>IF('Vendor Tiering Tool'!B19="","",'Vendor Tiering Tool'!C19)</f>
        <v/>
      </c>
      <c r="D21" s="9" t="str">
        <f>IF('Vendor Tiering Tool'!B19="","",'Vendor Tiering Tool'!I19)</f>
        <v/>
      </c>
      <c r="E21" s="24" t="str">
        <f>IF('Vendor Tiering Tool'!B19="","",'Vendor Tiering Tool'!J19)</f>
        <v/>
      </c>
      <c r="F21" s="24" t="str">
        <f>IF('Vendor Tiering Tool'!B19="","",'Vendor Tiering Tool'!K19)</f>
        <v/>
      </c>
    </row>
    <row r="22" spans="1:6" ht="22" customHeight="1" x14ac:dyDescent="0.35">
      <c r="A22" s="2" t="str">
        <f>IF('Vendor Tiering Tool'!B20="","",13)</f>
        <v/>
      </c>
      <c r="B22" s="30" t="str">
        <f>IF('Vendor Tiering Tool'!B20="","",'Vendor Tiering Tool'!B20)</f>
        <v/>
      </c>
      <c r="C22" s="31" t="str">
        <f>IF('Vendor Tiering Tool'!B20="","",'Vendor Tiering Tool'!C20)</f>
        <v/>
      </c>
      <c r="D22" s="5" t="str">
        <f>IF('Vendor Tiering Tool'!B20="","",'Vendor Tiering Tool'!I20)</f>
        <v/>
      </c>
      <c r="E22" s="22" t="str">
        <f>IF('Vendor Tiering Tool'!B20="","",'Vendor Tiering Tool'!J20)</f>
        <v/>
      </c>
      <c r="F22" s="22" t="str">
        <f>IF('Vendor Tiering Tool'!B20="","",'Vendor Tiering Tool'!K20)</f>
        <v/>
      </c>
    </row>
    <row r="23" spans="1:6" ht="22" customHeight="1" x14ac:dyDescent="0.35">
      <c r="A23" s="6" t="str">
        <f>IF('Vendor Tiering Tool'!B21="","",14)</f>
        <v/>
      </c>
      <c r="B23" s="32" t="str">
        <f>IF('Vendor Tiering Tool'!B21="","",'Vendor Tiering Tool'!B21)</f>
        <v/>
      </c>
      <c r="C23" s="33" t="str">
        <f>IF('Vendor Tiering Tool'!B21="","",'Vendor Tiering Tool'!C21)</f>
        <v/>
      </c>
      <c r="D23" s="9" t="str">
        <f>IF('Vendor Tiering Tool'!B21="","",'Vendor Tiering Tool'!I21)</f>
        <v/>
      </c>
      <c r="E23" s="24" t="str">
        <f>IF('Vendor Tiering Tool'!B21="","",'Vendor Tiering Tool'!J21)</f>
        <v/>
      </c>
      <c r="F23" s="24" t="str">
        <f>IF('Vendor Tiering Tool'!B21="","",'Vendor Tiering Tool'!K21)</f>
        <v/>
      </c>
    </row>
    <row r="24" spans="1:6" ht="22" customHeight="1" x14ac:dyDescent="0.35">
      <c r="A24" s="2" t="str">
        <f>IF('Vendor Tiering Tool'!B22="","",15)</f>
        <v/>
      </c>
      <c r="B24" s="30" t="str">
        <f>IF('Vendor Tiering Tool'!B22="","",'Vendor Tiering Tool'!B22)</f>
        <v/>
      </c>
      <c r="C24" s="31" t="str">
        <f>IF('Vendor Tiering Tool'!B22="","",'Vendor Tiering Tool'!C22)</f>
        <v/>
      </c>
      <c r="D24" s="5" t="str">
        <f>IF('Vendor Tiering Tool'!B22="","",'Vendor Tiering Tool'!I22)</f>
        <v/>
      </c>
      <c r="E24" s="22" t="str">
        <f>IF('Vendor Tiering Tool'!B22="","",'Vendor Tiering Tool'!J22)</f>
        <v/>
      </c>
      <c r="F24" s="22" t="str">
        <f>IF('Vendor Tiering Tool'!B22="","",'Vendor Tiering Tool'!K22)</f>
        <v/>
      </c>
    </row>
    <row r="25" spans="1:6" ht="22" customHeight="1" x14ac:dyDescent="0.35">
      <c r="A25" s="6" t="str">
        <f>IF('Vendor Tiering Tool'!B23="","",16)</f>
        <v/>
      </c>
      <c r="B25" s="32" t="str">
        <f>IF('Vendor Tiering Tool'!B23="","",'Vendor Tiering Tool'!B23)</f>
        <v/>
      </c>
      <c r="C25" s="33" t="str">
        <f>IF('Vendor Tiering Tool'!B23="","",'Vendor Tiering Tool'!C23)</f>
        <v/>
      </c>
      <c r="D25" s="9" t="str">
        <f>IF('Vendor Tiering Tool'!B23="","",'Vendor Tiering Tool'!I23)</f>
        <v/>
      </c>
      <c r="E25" s="24" t="str">
        <f>IF('Vendor Tiering Tool'!B23="","",'Vendor Tiering Tool'!J23)</f>
        <v/>
      </c>
      <c r="F25" s="24" t="str">
        <f>IF('Vendor Tiering Tool'!B23="","",'Vendor Tiering Tool'!K23)</f>
        <v/>
      </c>
    </row>
    <row r="26" spans="1:6" ht="22" customHeight="1" x14ac:dyDescent="0.35">
      <c r="A26" s="2" t="str">
        <f>IF('Vendor Tiering Tool'!B24="","",17)</f>
        <v/>
      </c>
      <c r="B26" s="30" t="str">
        <f>IF('Vendor Tiering Tool'!B24="","",'Vendor Tiering Tool'!B24)</f>
        <v/>
      </c>
      <c r="C26" s="31" t="str">
        <f>IF('Vendor Tiering Tool'!B24="","",'Vendor Tiering Tool'!C24)</f>
        <v/>
      </c>
      <c r="D26" s="5" t="str">
        <f>IF('Vendor Tiering Tool'!B24="","",'Vendor Tiering Tool'!I24)</f>
        <v/>
      </c>
      <c r="E26" s="22" t="str">
        <f>IF('Vendor Tiering Tool'!B24="","",'Vendor Tiering Tool'!J24)</f>
        <v/>
      </c>
      <c r="F26" s="22" t="str">
        <f>IF('Vendor Tiering Tool'!B24="","",'Vendor Tiering Tool'!K24)</f>
        <v/>
      </c>
    </row>
    <row r="27" spans="1:6" ht="22" customHeight="1" x14ac:dyDescent="0.35">
      <c r="A27" s="6" t="str">
        <f>IF('Vendor Tiering Tool'!B25="","",18)</f>
        <v/>
      </c>
      <c r="B27" s="32" t="str">
        <f>IF('Vendor Tiering Tool'!B25="","",'Vendor Tiering Tool'!B25)</f>
        <v/>
      </c>
      <c r="C27" s="33" t="str">
        <f>IF('Vendor Tiering Tool'!B25="","",'Vendor Tiering Tool'!C25)</f>
        <v/>
      </c>
      <c r="D27" s="9" t="str">
        <f>IF('Vendor Tiering Tool'!B25="","",'Vendor Tiering Tool'!I25)</f>
        <v/>
      </c>
      <c r="E27" s="24" t="str">
        <f>IF('Vendor Tiering Tool'!B25="","",'Vendor Tiering Tool'!J25)</f>
        <v/>
      </c>
      <c r="F27" s="24" t="str">
        <f>IF('Vendor Tiering Tool'!B25="","",'Vendor Tiering Tool'!K25)</f>
        <v/>
      </c>
    </row>
    <row r="28" spans="1:6" ht="22" customHeight="1" x14ac:dyDescent="0.35">
      <c r="A28" s="2" t="str">
        <f>IF('Vendor Tiering Tool'!B26="","",19)</f>
        <v/>
      </c>
      <c r="B28" s="30" t="str">
        <f>IF('Vendor Tiering Tool'!B26="","",'Vendor Tiering Tool'!B26)</f>
        <v/>
      </c>
      <c r="C28" s="31" t="str">
        <f>IF('Vendor Tiering Tool'!B26="","",'Vendor Tiering Tool'!C26)</f>
        <v/>
      </c>
      <c r="D28" s="5" t="str">
        <f>IF('Vendor Tiering Tool'!B26="","",'Vendor Tiering Tool'!I26)</f>
        <v/>
      </c>
      <c r="E28" s="22" t="str">
        <f>IF('Vendor Tiering Tool'!B26="","",'Vendor Tiering Tool'!J26)</f>
        <v/>
      </c>
      <c r="F28" s="22" t="str">
        <f>IF('Vendor Tiering Tool'!B26="","",'Vendor Tiering Tool'!K26)</f>
        <v/>
      </c>
    </row>
    <row r="29" spans="1:6" ht="22" customHeight="1" x14ac:dyDescent="0.35">
      <c r="A29" s="6" t="str">
        <f>IF('Vendor Tiering Tool'!B27="","",20)</f>
        <v/>
      </c>
      <c r="B29" s="32" t="str">
        <f>IF('Vendor Tiering Tool'!B27="","",'Vendor Tiering Tool'!B27)</f>
        <v/>
      </c>
      <c r="C29" s="33" t="str">
        <f>IF('Vendor Tiering Tool'!B27="","",'Vendor Tiering Tool'!C27)</f>
        <v/>
      </c>
      <c r="D29" s="9" t="str">
        <f>IF('Vendor Tiering Tool'!B27="","",'Vendor Tiering Tool'!I27)</f>
        <v/>
      </c>
      <c r="E29" s="24" t="str">
        <f>IF('Vendor Tiering Tool'!B27="","",'Vendor Tiering Tool'!J27)</f>
        <v/>
      </c>
      <c r="F29" s="24" t="str">
        <f>IF('Vendor Tiering Tool'!B27="","",'Vendor Tiering Tool'!K27)</f>
        <v/>
      </c>
    </row>
  </sheetData>
  <mergeCells count="3">
    <mergeCell ref="B2:F2"/>
    <mergeCell ref="B4:F4"/>
    <mergeCell ref="B3:F3"/>
  </mergeCells>
  <conditionalFormatting sqref="E10:E29">
    <cfRule type="expression" dxfId="3" priority="5">
      <formula>E10="Critical"</formula>
    </cfRule>
    <cfRule type="expression" dxfId="2" priority="6">
      <formula>E10="High"</formula>
    </cfRule>
    <cfRule type="expression" dxfId="1" priority="7">
      <formula>E10="Medium"</formula>
    </cfRule>
    <cfRule type="expression" dxfId="0" priority="8">
      <formula>E10="Low"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33"/>
  <sheetViews>
    <sheetView tabSelected="1" topLeftCell="A29" workbookViewId="0">
      <selection activeCell="E38" sqref="E38"/>
    </sheetView>
  </sheetViews>
  <sheetFormatPr defaultRowHeight="14.5" x14ac:dyDescent="0.35"/>
  <cols>
    <col min="1" max="1" width="4" customWidth="1"/>
    <col min="2" max="2" width="26" customWidth="1"/>
    <col min="3" max="3" width="16" customWidth="1"/>
    <col min="4" max="6" width="28" customWidth="1"/>
    <col min="7" max="7" width="22" customWidth="1"/>
  </cols>
  <sheetData>
    <row r="2" spans="2:7" ht="40" customHeight="1" x14ac:dyDescent="0.35">
      <c r="B2" s="54" t="s">
        <v>22</v>
      </c>
      <c r="C2" s="49"/>
      <c r="D2" s="49"/>
      <c r="E2" s="49"/>
      <c r="F2" s="49"/>
      <c r="G2" s="49"/>
    </row>
    <row r="3" spans="2:7" ht="14" customHeight="1" x14ac:dyDescent="0.35">
      <c r="B3" s="50"/>
      <c r="C3" s="49"/>
      <c r="D3" s="49"/>
      <c r="E3" s="49"/>
      <c r="F3" s="49"/>
      <c r="G3" s="49"/>
    </row>
    <row r="4" spans="2:7" ht="22" customHeight="1" x14ac:dyDescent="0.35">
      <c r="B4" s="48" t="s">
        <v>23</v>
      </c>
      <c r="C4" s="49"/>
      <c r="D4" s="49"/>
      <c r="E4" s="49"/>
      <c r="F4" s="49"/>
      <c r="G4" s="49"/>
    </row>
    <row r="5" spans="2:7" ht="12" customHeight="1" x14ac:dyDescent="0.35"/>
    <row r="6" spans="2:7" ht="26" customHeight="1" x14ac:dyDescent="0.35">
      <c r="B6" s="55" t="s">
        <v>24</v>
      </c>
      <c r="C6" s="49"/>
      <c r="D6" s="49"/>
      <c r="E6" s="49"/>
      <c r="F6" s="49"/>
      <c r="G6" s="49"/>
    </row>
    <row r="7" spans="2:7" ht="22" customHeight="1" x14ac:dyDescent="0.35">
      <c r="B7" s="13" t="s">
        <v>25</v>
      </c>
      <c r="C7" s="13" t="s">
        <v>26</v>
      </c>
      <c r="D7" s="13" t="s">
        <v>27</v>
      </c>
    </row>
    <row r="8" spans="2:7" ht="26" customHeight="1" x14ac:dyDescent="0.35">
      <c r="B8" s="36" t="s">
        <v>28</v>
      </c>
      <c r="C8" s="17" t="s">
        <v>19</v>
      </c>
      <c r="D8" s="37" t="s">
        <v>29</v>
      </c>
    </row>
    <row r="9" spans="2:7" ht="26" customHeight="1" x14ac:dyDescent="0.35">
      <c r="B9" s="38" t="s">
        <v>30</v>
      </c>
      <c r="C9" s="16" t="s">
        <v>18</v>
      </c>
      <c r="D9" s="37" t="s">
        <v>31</v>
      </c>
    </row>
    <row r="10" spans="2:7" ht="26" customHeight="1" x14ac:dyDescent="0.35">
      <c r="B10" s="39" t="s">
        <v>32</v>
      </c>
      <c r="C10" s="14" t="s">
        <v>17</v>
      </c>
      <c r="D10" s="37" t="s">
        <v>33</v>
      </c>
    </row>
    <row r="11" spans="2:7" ht="12" customHeight="1" x14ac:dyDescent="0.35"/>
    <row r="12" spans="2:7" ht="26" customHeight="1" x14ac:dyDescent="0.35">
      <c r="B12" s="55" t="s">
        <v>34</v>
      </c>
      <c r="C12" s="49"/>
      <c r="D12" s="49"/>
      <c r="E12" s="49"/>
      <c r="F12" s="49"/>
      <c r="G12" s="49"/>
    </row>
    <row r="13" spans="2:7" ht="22" customHeight="1" x14ac:dyDescent="0.35">
      <c r="B13" s="10" t="s">
        <v>35</v>
      </c>
      <c r="C13" s="10" t="s">
        <v>36</v>
      </c>
      <c r="D13" s="10" t="s">
        <v>37</v>
      </c>
      <c r="E13" s="10" t="s">
        <v>38</v>
      </c>
      <c r="F13" s="10" t="s">
        <v>39</v>
      </c>
    </row>
    <row r="14" spans="2:7" ht="28" customHeight="1" x14ac:dyDescent="0.35">
      <c r="B14" s="40" t="s">
        <v>40</v>
      </c>
      <c r="C14" s="41" t="s">
        <v>41</v>
      </c>
      <c r="D14" s="12" t="s">
        <v>42</v>
      </c>
      <c r="E14" s="12" t="s">
        <v>43</v>
      </c>
      <c r="F14" s="12" t="s">
        <v>44</v>
      </c>
    </row>
    <row r="15" spans="2:7" ht="28" customHeight="1" x14ac:dyDescent="0.35">
      <c r="B15" s="42" t="s">
        <v>45</v>
      </c>
      <c r="C15" s="43" t="s">
        <v>46</v>
      </c>
      <c r="D15" s="11" t="s">
        <v>47</v>
      </c>
      <c r="E15" s="11" t="s">
        <v>48</v>
      </c>
      <c r="F15" s="11" t="s">
        <v>49</v>
      </c>
    </row>
    <row r="16" spans="2:7" ht="28" customHeight="1" x14ac:dyDescent="0.35">
      <c r="B16" s="40" t="s">
        <v>50</v>
      </c>
      <c r="C16" s="41" t="s">
        <v>46</v>
      </c>
      <c r="D16" s="12" t="s">
        <v>51</v>
      </c>
      <c r="E16" s="12" t="s">
        <v>52</v>
      </c>
      <c r="F16" s="12" t="s">
        <v>53</v>
      </c>
    </row>
    <row r="17" spans="2:7" ht="28" customHeight="1" x14ac:dyDescent="0.35">
      <c r="B17" s="42" t="s">
        <v>54</v>
      </c>
      <c r="C17" s="43" t="s">
        <v>55</v>
      </c>
      <c r="D17" s="11" t="s">
        <v>56</v>
      </c>
      <c r="E17" s="11" t="s">
        <v>57</v>
      </c>
      <c r="F17" s="11" t="s">
        <v>58</v>
      </c>
    </row>
    <row r="18" spans="2:7" ht="28" customHeight="1" x14ac:dyDescent="0.35">
      <c r="B18" s="40" t="s">
        <v>59</v>
      </c>
      <c r="C18" s="41" t="s">
        <v>55</v>
      </c>
      <c r="D18" s="12" t="s">
        <v>60</v>
      </c>
      <c r="E18" s="12" t="s">
        <v>61</v>
      </c>
      <c r="F18" s="12" t="s">
        <v>62</v>
      </c>
    </row>
    <row r="19" spans="2:7" ht="12" customHeight="1" x14ac:dyDescent="0.35"/>
    <row r="20" spans="2:7" ht="26" customHeight="1" x14ac:dyDescent="0.35">
      <c r="B20" s="55" t="s">
        <v>63</v>
      </c>
      <c r="C20" s="49"/>
      <c r="D20" s="49"/>
      <c r="E20" s="49"/>
      <c r="F20" s="49"/>
      <c r="G20" s="49"/>
    </row>
    <row r="21" spans="2:7" ht="34" customHeight="1" x14ac:dyDescent="0.35">
      <c r="B21" s="58" t="s">
        <v>64</v>
      </c>
      <c r="C21" s="49"/>
      <c r="D21" s="49"/>
      <c r="E21" s="49"/>
      <c r="F21" s="49"/>
      <c r="G21" s="49"/>
    </row>
    <row r="22" spans="2:7" ht="12" customHeight="1" x14ac:dyDescent="0.35"/>
    <row r="23" spans="2:7" ht="22" customHeight="1" x14ac:dyDescent="0.35">
      <c r="B23" s="57" t="s">
        <v>65</v>
      </c>
      <c r="C23" s="49"/>
      <c r="D23" s="49"/>
      <c r="E23" s="49"/>
      <c r="F23" s="49"/>
      <c r="G23" s="49"/>
    </row>
    <row r="24" spans="2:7" ht="22" customHeight="1" x14ac:dyDescent="0.35">
      <c r="B24" s="56" t="s">
        <v>66</v>
      </c>
      <c r="C24" s="49"/>
      <c r="D24" s="49"/>
      <c r="E24" s="49"/>
      <c r="F24" s="49"/>
      <c r="G24" s="49"/>
    </row>
    <row r="25" spans="2:7" ht="12" customHeight="1" x14ac:dyDescent="0.35"/>
    <row r="26" spans="2:7" ht="26" customHeight="1" x14ac:dyDescent="0.35">
      <c r="B26" s="55" t="s">
        <v>67</v>
      </c>
      <c r="C26" s="49"/>
      <c r="D26" s="49"/>
      <c r="E26" s="49"/>
      <c r="F26" s="49"/>
      <c r="G26" s="49"/>
    </row>
    <row r="27" spans="2:7" ht="22" customHeight="1" x14ac:dyDescent="0.35">
      <c r="B27" s="10" t="s">
        <v>11</v>
      </c>
      <c r="C27" s="10" t="s">
        <v>68</v>
      </c>
      <c r="D27" s="10" t="s">
        <v>69</v>
      </c>
      <c r="E27" s="10" t="s">
        <v>21</v>
      </c>
      <c r="F27" s="10" t="s">
        <v>70</v>
      </c>
      <c r="G27" s="10" t="s">
        <v>71</v>
      </c>
    </row>
    <row r="28" spans="2:7" ht="28" customHeight="1" x14ac:dyDescent="0.35">
      <c r="B28" s="44" t="s">
        <v>16</v>
      </c>
      <c r="C28" s="14" t="s">
        <v>72</v>
      </c>
      <c r="D28" s="12" t="s">
        <v>73</v>
      </c>
      <c r="E28" s="12" t="s">
        <v>74</v>
      </c>
      <c r="F28" s="12" t="s">
        <v>75</v>
      </c>
      <c r="G28" s="12" t="s">
        <v>76</v>
      </c>
    </row>
    <row r="29" spans="2:7" ht="28" customHeight="1" x14ac:dyDescent="0.35">
      <c r="B29" s="45" t="s">
        <v>17</v>
      </c>
      <c r="C29" s="15" t="s">
        <v>77</v>
      </c>
      <c r="D29" s="12" t="s">
        <v>78</v>
      </c>
      <c r="E29" s="12" t="s">
        <v>79</v>
      </c>
      <c r="F29" s="12" t="s">
        <v>80</v>
      </c>
      <c r="G29" s="12" t="s">
        <v>81</v>
      </c>
    </row>
    <row r="30" spans="2:7" ht="28" customHeight="1" x14ac:dyDescent="0.35">
      <c r="B30" s="46" t="s">
        <v>18</v>
      </c>
      <c r="C30" s="16" t="s">
        <v>82</v>
      </c>
      <c r="D30" s="12" t="s">
        <v>83</v>
      </c>
      <c r="E30" s="12" t="s">
        <v>84</v>
      </c>
      <c r="F30" s="12" t="s">
        <v>85</v>
      </c>
      <c r="G30" s="12" t="s">
        <v>86</v>
      </c>
    </row>
    <row r="31" spans="2:7" ht="28" customHeight="1" x14ac:dyDescent="0.35">
      <c r="B31" s="47" t="s">
        <v>19</v>
      </c>
      <c r="C31" s="17" t="s">
        <v>87</v>
      </c>
      <c r="D31" s="12" t="s">
        <v>88</v>
      </c>
      <c r="E31" s="12" t="s">
        <v>89</v>
      </c>
      <c r="F31" s="12" t="s">
        <v>90</v>
      </c>
      <c r="G31" s="12" t="s">
        <v>91</v>
      </c>
    </row>
    <row r="32" spans="2:7" ht="12" customHeight="1" x14ac:dyDescent="0.35"/>
    <row r="33" spans="2:7" ht="28" customHeight="1" x14ac:dyDescent="0.35">
      <c r="B33" s="59" t="s">
        <v>92</v>
      </c>
      <c r="C33" s="49"/>
      <c r="D33" s="49"/>
      <c r="E33" s="49"/>
      <c r="F33" s="49"/>
      <c r="G33" s="49"/>
    </row>
  </sheetData>
  <mergeCells count="11">
    <mergeCell ref="B26:G26"/>
    <mergeCell ref="B12:G12"/>
    <mergeCell ref="B21:G21"/>
    <mergeCell ref="B33:G33"/>
    <mergeCell ref="B6:G6"/>
    <mergeCell ref="B3:G3"/>
    <mergeCell ref="B2:G2"/>
    <mergeCell ref="B20:G20"/>
    <mergeCell ref="B24:G24"/>
    <mergeCell ref="B23:G23"/>
    <mergeCell ref="B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0"/>
  <sheetViews>
    <sheetView workbookViewId="0"/>
  </sheetViews>
  <sheetFormatPr defaultRowHeight="14.5" x14ac:dyDescent="0.35"/>
  <cols>
    <col min="1" max="1" width="5" customWidth="1"/>
    <col min="2" max="2" width="26" customWidth="1"/>
    <col min="3" max="3" width="18" customWidth="1"/>
    <col min="4" max="4" width="22" customWidth="1"/>
    <col min="5" max="6" width="18" customWidth="1"/>
  </cols>
  <sheetData>
    <row r="2" spans="2:6" ht="36" customHeight="1" x14ac:dyDescent="0.35">
      <c r="B2" s="60" t="s">
        <v>93</v>
      </c>
      <c r="C2" s="52"/>
      <c r="D2" s="52"/>
      <c r="E2" s="52"/>
      <c r="F2" s="53"/>
    </row>
    <row r="4" spans="2:6" ht="24" customHeight="1" x14ac:dyDescent="0.35">
      <c r="B4" s="13" t="s">
        <v>94</v>
      </c>
      <c r="C4" s="13" t="s">
        <v>36</v>
      </c>
      <c r="D4" s="13" t="s">
        <v>25</v>
      </c>
      <c r="E4" s="13" t="s">
        <v>95</v>
      </c>
      <c r="F4" s="13" t="s">
        <v>96</v>
      </c>
    </row>
    <row r="5" spans="2:6" ht="24" customHeight="1" x14ac:dyDescent="0.35">
      <c r="B5" s="11" t="s">
        <v>40</v>
      </c>
      <c r="C5" s="11" t="s">
        <v>41</v>
      </c>
      <c r="D5" s="11">
        <v>3</v>
      </c>
      <c r="E5" s="18">
        <v>0.9</v>
      </c>
      <c r="F5" s="11" t="s">
        <v>97</v>
      </c>
    </row>
    <row r="6" spans="2:6" ht="24" customHeight="1" x14ac:dyDescent="0.35">
      <c r="B6" s="12" t="s">
        <v>45</v>
      </c>
      <c r="C6" s="12" t="s">
        <v>46</v>
      </c>
      <c r="D6" s="12">
        <v>2</v>
      </c>
      <c r="E6" s="19">
        <v>0.5</v>
      </c>
      <c r="F6" s="12" t="s">
        <v>98</v>
      </c>
    </row>
    <row r="7" spans="2:6" ht="24" customHeight="1" x14ac:dyDescent="0.35">
      <c r="B7" s="11" t="s">
        <v>50</v>
      </c>
      <c r="C7" s="11" t="s">
        <v>46</v>
      </c>
      <c r="D7" s="11">
        <v>3</v>
      </c>
      <c r="E7" s="18">
        <v>0.75</v>
      </c>
      <c r="F7" s="11" t="s">
        <v>99</v>
      </c>
    </row>
    <row r="8" spans="2:6" ht="24" customHeight="1" x14ac:dyDescent="0.35">
      <c r="B8" s="12" t="s">
        <v>54</v>
      </c>
      <c r="C8" s="12" t="s">
        <v>55</v>
      </c>
      <c r="D8" s="12">
        <v>2</v>
      </c>
      <c r="E8" s="19">
        <v>0.2</v>
      </c>
      <c r="F8" s="12" t="s">
        <v>100</v>
      </c>
    </row>
    <row r="9" spans="2:6" ht="24" customHeight="1" x14ac:dyDescent="0.35">
      <c r="B9" s="11" t="s">
        <v>59</v>
      </c>
      <c r="C9" s="11" t="s">
        <v>55</v>
      </c>
      <c r="D9" s="11">
        <v>1</v>
      </c>
      <c r="E9" s="18">
        <v>0.1</v>
      </c>
      <c r="F9" s="11" t="s">
        <v>101</v>
      </c>
    </row>
    <row r="10" spans="2:6" ht="28" customHeight="1" x14ac:dyDescent="0.35">
      <c r="B10" s="61" t="s">
        <v>102</v>
      </c>
      <c r="C10" s="52"/>
      <c r="D10" s="53"/>
      <c r="E10" s="20">
        <f>SUM(E5:E9)</f>
        <v>2.4500000000000002</v>
      </c>
      <c r="F10" s="15" t="s">
        <v>103</v>
      </c>
    </row>
  </sheetData>
  <mergeCells count="2">
    <mergeCell ref="B2:F2"/>
    <mergeCell ref="B10:D10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Tiering Tool</vt:lpstr>
      <vt:lpstr>Vendor Summary</vt:lpstr>
      <vt:lpstr>Scoring Guide 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Aadhavan GS [EXT]</cp:lastModifiedBy>
  <dcterms:created xsi:type="dcterms:W3CDTF">2026-07-15T18:22:41Z</dcterms:created>
  <dcterms:modified xsi:type="dcterms:W3CDTF">2026-07-16T18:47:53Z</dcterms:modified>
</cp:coreProperties>
</file>