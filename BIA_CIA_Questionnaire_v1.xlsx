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bb-my.sharepoint.com/personal/aadhavan_gs_in_abb_com/Documents/"/>
    </mc:Choice>
  </mc:AlternateContent>
  <xr:revisionPtr revIDLastSave="0" documentId="8_{F9DE4576-4324-47D6-A299-A6913035DE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structions" sheetId="1" r:id="rId1"/>
    <sheet name="BIA Questionnaire" sheetId="2" r:id="rId2"/>
    <sheet name="BIA Score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3" l="1"/>
  <c r="B25" i="3"/>
  <c r="B24" i="3"/>
  <c r="B23" i="3"/>
  <c r="B22" i="3"/>
  <c r="C21" i="3"/>
  <c r="B21" i="3"/>
  <c r="C16" i="3"/>
  <c r="D16" i="3" s="1"/>
  <c r="E16" i="3" s="1"/>
  <c r="F16" i="3" s="1"/>
  <c r="C15" i="3"/>
  <c r="D15" i="3" s="1"/>
  <c r="E15" i="3" s="1"/>
  <c r="F15" i="3" s="1"/>
  <c r="C14" i="3"/>
  <c r="D14" i="3" s="1"/>
  <c r="E10" i="3"/>
  <c r="C7" i="3"/>
  <c r="C6" i="3"/>
  <c r="C5" i="3"/>
  <c r="C4" i="3"/>
  <c r="C3" i="3"/>
  <c r="E14" i="3" l="1"/>
  <c r="F14" i="3" s="1"/>
  <c r="D18" i="3"/>
  <c r="E18" i="3" s="1"/>
  <c r="F18" i="3" s="1"/>
</calcChain>
</file>

<file path=xl/sharedStrings.xml><?xml version="1.0" encoding="utf-8"?>
<sst xmlns="http://schemas.openxmlformats.org/spreadsheetml/2006/main" count="102" uniqueCount="84">
  <si>
    <t>Business Impact Analysis (BIA) – CIA Questionnaire Tool  (Yes/No + Scale Selector)</t>
  </si>
  <si>
    <t>PURPOSE</t>
  </si>
  <si>
    <t>Assess Business Impact of an asset by answering Yes/No across C, I, A dimensions.</t>
  </si>
  <si>
    <t>Use the Scale Selector in the Summary sheet to view scores in your preferred range.</t>
  </si>
  <si>
    <t>HOW TO USE</t>
  </si>
  <si>
    <t>Step 1 → Go to 'BIA Questionnaire' sheet and fill in asset details.</t>
  </si>
  <si>
    <t>Step 2 → Answer all 15 questions (Yes or No) using the dropdown.</t>
  </si>
  <si>
    <t>Step 3 → Go to 'BIA Score Summary' sheet.</t>
  </si>
  <si>
    <t>Step 4 → Select your preferred Scale using the TOGGLE (A / B / C).</t>
  </si>
  <si>
    <t>Step 5 → All CIA scores and BIA score auto-update to your chosen scale.</t>
  </si>
  <si>
    <t>SCALE OPTIONS</t>
  </si>
  <si>
    <t>A  →  Range 0.0 – 1.0   |  Levels: Low / Medium / High</t>
  </si>
  <si>
    <t>B  →  Range 1 – 5        |  Levels: Very Low / Low / Medium / High / Critical</t>
  </si>
  <si>
    <t>C  →  Range 0 – 100 (%)  |  Levels: Low / Medium / High</t>
  </si>
  <si>
    <t>SCORING LOGIC</t>
  </si>
  <si>
    <t>Yes = 1  |  No = 0</t>
  </si>
  <si>
    <t>CIA Avg (raw) = Sum of Yes answers ÷ 5   →   Range: 0.0 to 1.0</t>
  </si>
  <si>
    <t>BIA Raw = (C_avg + I_avg + A_avg) ÷ 3    →   Range: 0.0 to 1.0</t>
  </si>
  <si>
    <t>Scale A → BIA displayed as-is (0.0–1.0)</t>
  </si>
  <si>
    <t>Scale B → BIA (1–5)   = (BIA_raw × 4) + 1</t>
  </si>
  <si>
    <t>Scale C → BIA (0–100) = BIA_raw × 100</t>
  </si>
  <si>
    <t>Business Impact Analysis (BIA) – CIA Questionnaire   [ Yes = 1 | No = 0 ]</t>
  </si>
  <si>
    <t>Asset / System Name</t>
  </si>
  <si>
    <t>Asset Owner</t>
  </si>
  <si>
    <t>Department</t>
  </si>
  <si>
    <t>Assessment Date</t>
  </si>
  <si>
    <t>Assessor Name</t>
  </si>
  <si>
    <t>#</t>
  </si>
  <si>
    <t>Question</t>
  </si>
  <si>
    <t>Guidance / Notes</t>
  </si>
  <si>
    <t>Yes / No</t>
  </si>
  <si>
    <t>CIA Dim.</t>
  </si>
  <si>
    <t>CONFIDENTIALITY (C)</t>
  </si>
  <si>
    <t>Does the asset store, process, or transmit sensitive/personal data (PII, financial, IP)?</t>
  </si>
  <si>
    <t>e.g., customer data, trade secrets, HR records</t>
  </si>
  <si>
    <t>C</t>
  </si>
  <si>
    <t>Is the asset subject to regulatory or compliance requirements (GDPR, ISO 27001, etc.)?</t>
  </si>
  <si>
    <t>e.g., mandatory legal/compliance obligations</t>
  </si>
  <si>
    <t>Would unauthorized disclosure of this asset's data cause legal, financial, or reputational damage?</t>
  </si>
  <si>
    <t>Yes if breach leads to penalty, lawsuit, or public embarrassment</t>
  </si>
  <si>
    <t>Is the data classified as Confidential or Restricted per your data classification policy?</t>
  </si>
  <si>
    <t>Based on your org's data classification framework</t>
  </si>
  <si>
    <t>Is access to this asset limited to specific authorized roles only?</t>
  </si>
  <si>
    <t>Yes = role-based / restricted access enforced</t>
  </si>
  <si>
    <t>INTEGRITY (I)</t>
  </si>
  <si>
    <t>Would unauthorized modification or corruption of this asset's data cause operational harm?</t>
  </si>
  <si>
    <t>e.g., incorrect financials, wrong production output</t>
  </si>
  <si>
    <t>I</t>
  </si>
  <si>
    <t>Is this asset's data used in critical business decisions or automated processes?</t>
  </si>
  <si>
    <t>e.g., financial reports, control systems, dashboards</t>
  </si>
  <si>
    <t>Is it difficult to detect if data in this asset has been tampered with?</t>
  </si>
  <si>
    <t>Yes = no strong audit trail or integrity check exists</t>
  </si>
  <si>
    <t>Would a data integrity failure in this asset be difficult or impossible to reverse?</t>
  </si>
  <si>
    <t>Yes = irreversible corruption or no reliable backup</t>
  </si>
  <si>
    <t>Does this asset lack sufficient integrity controls (checksums, digital signatures, audit logs)?</t>
  </si>
  <si>
    <t>Yes = controls are missing or weak</t>
  </si>
  <si>
    <t>AVAILABILITY (A)</t>
  </si>
  <si>
    <t>Is the maximum tolerable downtime (MTD) for this asset less than 8 hours?</t>
  </si>
  <si>
    <t>Yes = RTO is very tight; near real-time recovery needed</t>
  </si>
  <si>
    <t>A</t>
  </si>
  <si>
    <t>Would unavailability of this asset for more than 1 hour significantly disrupt business operations?</t>
  </si>
  <si>
    <t>Yes = operations halt or degrade severely</t>
  </si>
  <si>
    <t>Do a large number of users or critical processes depend on this asset?</t>
  </si>
  <si>
    <t>Yes = wide or critical dependency across the org</t>
  </si>
  <si>
    <t>Does downtime of this asset result in financial loss, SLA breach, or safety risk?</t>
  </si>
  <si>
    <t>Yes = quantifiable business or safety impact</t>
  </si>
  <si>
    <t>Does this asset lack a tested disaster recovery or failover plan?</t>
  </si>
  <si>
    <t>Yes = no DR plan, or plan exists but untested</t>
  </si>
  <si>
    <t>BIA Score Summary</t>
  </si>
  <si>
    <t>📊  SELECT SCALE</t>
  </si>
  <si>
    <t>↑  Click cell D10 and pick A, B or C from the dropdown to switch scale</t>
  </si>
  <si>
    <t>CIA Dimension</t>
  </si>
  <si>
    <t>Yes Count</t>
  </si>
  <si>
    <t>Raw Avg (0–1)</t>
  </si>
  <si>
    <t>Scaled Score</t>
  </si>
  <si>
    <t>Impact Level</t>
  </si>
  <si>
    <t>Confidentiality (C)</t>
  </si>
  <si>
    <t>Integrity (I)</t>
  </si>
  <si>
    <t>Availability (A)</t>
  </si>
  <si>
    <t>Overall BIA Score</t>
  </si>
  <si>
    <t>IMPACT LEGEND  (updates with scale)</t>
  </si>
  <si>
    <t>"Minimal impact; standard controls sufficient"</t>
  </si>
  <si>
    <t>"Moderate impact; enhanced controls recommended"</t>
  </si>
  <si>
    <t>"Significant impact; strong controls &amp; DR mandatory"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</si>
</sst>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FF000F"/>
      <name val="Calibri"/>
    </font>
    <font>
      <b/>
      <sz val="11"/>
      <color rgb="FFFFFFFF"/>
      <name val="Calibri"/>
    </font>
    <font>
      <sz val="10"/>
      <color rgb="FF2B2B2B"/>
      <name val="Calibri"/>
    </font>
    <font>
      <b/>
      <sz val="10"/>
      <color rgb="FF2B2B2B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2"/>
      <color rgb="FFFFFFFF"/>
      <name val="Calibri"/>
    </font>
    <font>
      <b/>
      <sz val="10"/>
      <color rgb="FFC00000"/>
      <name val="Calibri"/>
    </font>
    <font>
      <sz val="9"/>
      <color rgb="FF666666"/>
      <name val="Calibri"/>
    </font>
    <font>
      <b/>
      <sz val="10"/>
      <color rgb="FF6764F6"/>
      <name val="Calibri"/>
    </font>
    <font>
      <b/>
      <sz val="10"/>
      <color rgb="FFFF000F"/>
      <name val="Calibri"/>
    </font>
    <font>
      <b/>
      <sz val="14"/>
      <color rgb="FFFFFFFF"/>
      <name val="Calibri"/>
    </font>
    <font>
      <i/>
      <sz val="9"/>
      <color rgb="FF888888"/>
      <name val="Calibri"/>
    </font>
    <font>
      <b/>
      <sz val="11"/>
      <color rgb="FFC00000"/>
      <name val="Calibri"/>
    </font>
    <font>
      <b/>
      <sz val="11"/>
      <color rgb="FF6764F6"/>
      <name val="Calibri"/>
    </font>
    <font>
      <b/>
      <sz val="11"/>
      <color rgb="FFFF000F"/>
      <name val="Calibri"/>
    </font>
    <font>
      <b/>
      <sz val="13"/>
      <color rgb="FFFFFFFF"/>
      <name val="Calibri"/>
    </font>
    <font>
      <b/>
      <sz val="9"/>
      <color rgb="FF2B2B2B"/>
      <name val="Calibri"/>
    </font>
    <font>
      <sz val="9"/>
      <color rgb="FF2B2B2B"/>
      <name val="Calibri"/>
    </font>
    <font>
      <b/>
      <sz val="9"/>
      <color rgb="FFFFFFFF"/>
      <name val="Calibri"/>
    </font>
    <font>
      <sz val="9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0000"/>
      </patternFill>
    </fill>
    <fill>
      <patternFill patternType="solid">
        <fgColor rgb="FFE4E7FF"/>
      </patternFill>
    </fill>
    <fill>
      <patternFill patternType="solid">
        <fgColor rgb="FFFF000F"/>
      </patternFill>
    </fill>
    <fill>
      <patternFill patternType="solid">
        <fgColor rgb="FFC00000"/>
      </patternFill>
    </fill>
    <fill>
      <patternFill patternType="solid">
        <fgColor rgb="FF6764F6"/>
      </patternFill>
    </fill>
    <fill>
      <patternFill patternType="solid">
        <fgColor rgb="FF92D050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8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14" fillId="8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2" fontId="15" fillId="8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2" fontId="16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/>
    </xf>
    <xf numFmtId="2" fontId="17" fillId="9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/>
    <xf numFmtId="0" fontId="0" fillId="0" borderId="1" xfId="0" applyBorder="1" applyAlignment="1">
      <alignment vertical="center"/>
    </xf>
    <xf numFmtId="0" fontId="5" fillId="11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 indent="1"/>
    </xf>
    <xf numFmtId="0" fontId="12" fillId="2" borderId="0" xfId="0" applyFont="1" applyFill="1" applyAlignment="1">
      <alignment horizontal="center" vertical="center"/>
    </xf>
    <xf numFmtId="0" fontId="21" fillId="7" borderId="1" xfId="0" applyFont="1" applyFill="1" applyBorder="1" applyAlignment="1">
      <alignment vertical="center" indent="1"/>
    </xf>
    <xf numFmtId="0" fontId="2" fillId="9" borderId="1" xfId="0" applyFont="1" applyFill="1" applyBorder="1" applyAlignment="1">
      <alignment horizontal="center" vertical="center"/>
    </xf>
    <xf numFmtId="0" fontId="0" fillId="0" borderId="1" xfId="0" applyBorder="1"/>
    <xf numFmtId="0" fontId="19" fillId="13" borderId="1" xfId="0" applyFont="1" applyFill="1" applyBorder="1" applyAlignment="1">
      <alignment vertical="center" indent="1"/>
    </xf>
    <xf numFmtId="0" fontId="19" fillId="12" borderId="1" xfId="0" applyFont="1" applyFill="1" applyBorder="1" applyAlignment="1">
      <alignment vertical="center" indent="1"/>
    </xf>
    <xf numFmtId="0" fontId="19" fillId="6" borderId="1" xfId="0" applyFont="1" applyFill="1" applyBorder="1" applyAlignment="1">
      <alignment vertical="center" indent="1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tabSelected="1" workbookViewId="0">
      <selection activeCell="B25" sqref="B25"/>
    </sheetView>
  </sheetViews>
  <sheetFormatPr defaultRowHeight="14.5" x14ac:dyDescent="0.35"/>
  <cols>
    <col min="1" max="1" width="4" customWidth="1"/>
    <col min="2" max="2" width="100" customWidth="1"/>
  </cols>
  <sheetData>
    <row r="2" spans="2:2" ht="32" customHeight="1" x14ac:dyDescent="0.35">
      <c r="B2" s="1" t="s">
        <v>0</v>
      </c>
    </row>
    <row r="4" spans="2:2" ht="22" customHeight="1" x14ac:dyDescent="0.35">
      <c r="B4" s="2" t="s">
        <v>1</v>
      </c>
    </row>
    <row r="5" spans="2:2" ht="22" customHeight="1" x14ac:dyDescent="0.35">
      <c r="B5" s="3" t="s">
        <v>2</v>
      </c>
    </row>
    <row r="6" spans="2:2" ht="22" customHeight="1" x14ac:dyDescent="0.35">
      <c r="B6" s="3" t="s">
        <v>3</v>
      </c>
    </row>
    <row r="8" spans="2:2" ht="22" customHeight="1" x14ac:dyDescent="0.35">
      <c r="B8" s="2" t="s">
        <v>4</v>
      </c>
    </row>
    <row r="9" spans="2:2" ht="22" customHeight="1" x14ac:dyDescent="0.35">
      <c r="B9" s="4" t="s">
        <v>5</v>
      </c>
    </row>
    <row r="10" spans="2:2" ht="22" customHeight="1" x14ac:dyDescent="0.35">
      <c r="B10" s="4" t="s">
        <v>6</v>
      </c>
    </row>
    <row r="11" spans="2:2" ht="22" customHeight="1" x14ac:dyDescent="0.35">
      <c r="B11" s="4" t="s">
        <v>7</v>
      </c>
    </row>
    <row r="12" spans="2:2" ht="22" customHeight="1" x14ac:dyDescent="0.35">
      <c r="B12" s="4" t="s">
        <v>8</v>
      </c>
    </row>
    <row r="13" spans="2:2" ht="22" customHeight="1" x14ac:dyDescent="0.35">
      <c r="B13" s="4" t="s">
        <v>9</v>
      </c>
    </row>
    <row r="15" spans="2:2" ht="22" customHeight="1" x14ac:dyDescent="0.35">
      <c r="B15" s="2" t="s">
        <v>10</v>
      </c>
    </row>
    <row r="16" spans="2:2" ht="22" customHeight="1" x14ac:dyDescent="0.35">
      <c r="B16" s="5" t="s">
        <v>11</v>
      </c>
    </row>
    <row r="17" spans="2:2" ht="22" customHeight="1" x14ac:dyDescent="0.35">
      <c r="B17" s="6" t="s">
        <v>12</v>
      </c>
    </row>
    <row r="18" spans="2:2" ht="22" customHeight="1" x14ac:dyDescent="0.35">
      <c r="B18" s="7" t="s">
        <v>13</v>
      </c>
    </row>
    <row r="20" spans="2:2" ht="22" customHeight="1" x14ac:dyDescent="0.35">
      <c r="B20" s="2" t="s">
        <v>14</v>
      </c>
    </row>
    <row r="21" spans="2:2" ht="22" customHeight="1" x14ac:dyDescent="0.35">
      <c r="B21" s="8" t="s">
        <v>15</v>
      </c>
    </row>
    <row r="22" spans="2:2" ht="22" customHeight="1" x14ac:dyDescent="0.35">
      <c r="B22" s="8" t="s">
        <v>16</v>
      </c>
    </row>
    <row r="23" spans="2:2" ht="22" customHeight="1" x14ac:dyDescent="0.35">
      <c r="B23" s="8" t="s">
        <v>17</v>
      </c>
    </row>
    <row r="24" spans="2:2" ht="22" customHeight="1" x14ac:dyDescent="0.35">
      <c r="B24" s="9" t="s">
        <v>18</v>
      </c>
    </row>
    <row r="25" spans="2:2" ht="22" customHeight="1" x14ac:dyDescent="0.35">
      <c r="B25" s="10" t="s">
        <v>19</v>
      </c>
    </row>
    <row r="26" spans="2:2" ht="22" customHeight="1" x14ac:dyDescent="0.35">
      <c r="B26" s="1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9"/>
  <sheetViews>
    <sheetView showGridLines="0" topLeftCell="A23" workbookViewId="0">
      <selection activeCell="C20" sqref="C20"/>
    </sheetView>
  </sheetViews>
  <sheetFormatPr defaultRowHeight="14.5" x14ac:dyDescent="0.35"/>
  <cols>
    <col min="1" max="1" width="4" customWidth="1"/>
    <col min="2" max="2" width="17.08984375" bestFit="1" customWidth="1"/>
    <col min="3" max="3" width="62" customWidth="1"/>
    <col min="4" max="4" width="34" customWidth="1"/>
    <col min="5" max="5" width="10" customWidth="1"/>
    <col min="6" max="6" width="14" customWidth="1"/>
  </cols>
  <sheetData>
    <row r="1" spans="2:6" ht="30" customHeight="1" x14ac:dyDescent="0.35">
      <c r="B1" s="44" t="s">
        <v>21</v>
      </c>
      <c r="C1" s="45"/>
      <c r="D1" s="45"/>
      <c r="E1" s="45"/>
      <c r="F1" s="45"/>
    </row>
    <row r="3" spans="2:6" ht="20" customHeight="1" x14ac:dyDescent="0.35">
      <c r="B3" s="12" t="s">
        <v>22</v>
      </c>
      <c r="C3" s="46"/>
      <c r="D3" s="45"/>
      <c r="E3" s="45"/>
      <c r="F3" s="45"/>
    </row>
    <row r="4" spans="2:6" ht="20" customHeight="1" x14ac:dyDescent="0.35">
      <c r="B4" s="12" t="s">
        <v>23</v>
      </c>
      <c r="C4" s="46"/>
      <c r="D4" s="45"/>
      <c r="E4" s="45"/>
      <c r="F4" s="45"/>
    </row>
    <row r="5" spans="2:6" ht="20" customHeight="1" x14ac:dyDescent="0.35">
      <c r="B5" s="12" t="s">
        <v>24</v>
      </c>
      <c r="C5" s="46"/>
      <c r="D5" s="45"/>
      <c r="E5" s="45"/>
      <c r="F5" s="45"/>
    </row>
    <row r="6" spans="2:6" ht="20" customHeight="1" x14ac:dyDescent="0.35">
      <c r="B6" s="12" t="s">
        <v>25</v>
      </c>
      <c r="C6" s="46"/>
      <c r="D6" s="45"/>
      <c r="E6" s="45"/>
      <c r="F6" s="45"/>
    </row>
    <row r="7" spans="2:6" ht="20" customHeight="1" x14ac:dyDescent="0.35">
      <c r="B7" s="12" t="s">
        <v>26</v>
      </c>
      <c r="C7" s="46"/>
      <c r="D7" s="45"/>
      <c r="E7" s="45"/>
      <c r="F7" s="45"/>
    </row>
    <row r="9" spans="2:6" ht="24" customHeight="1" x14ac:dyDescent="0.35">
      <c r="B9" s="13" t="s">
        <v>27</v>
      </c>
      <c r="C9" s="13" t="s">
        <v>28</v>
      </c>
      <c r="D9" s="13" t="s">
        <v>29</v>
      </c>
      <c r="E9" s="14" t="s">
        <v>30</v>
      </c>
      <c r="F9" s="13" t="s">
        <v>31</v>
      </c>
    </row>
    <row r="10" spans="2:6" ht="20" customHeight="1" x14ac:dyDescent="0.35">
      <c r="B10" s="49" t="s">
        <v>32</v>
      </c>
      <c r="C10" s="45"/>
      <c r="D10" s="45"/>
      <c r="E10" s="45"/>
      <c r="F10" s="45"/>
    </row>
    <row r="11" spans="2:6" ht="38" customHeight="1" x14ac:dyDescent="0.35">
      <c r="B11" s="15">
        <v>1</v>
      </c>
      <c r="C11" s="16" t="s">
        <v>33</v>
      </c>
      <c r="D11" s="17" t="s">
        <v>34</v>
      </c>
      <c r="E11" s="18"/>
      <c r="F11" s="15" t="s">
        <v>35</v>
      </c>
    </row>
    <row r="12" spans="2:6" ht="38" customHeight="1" x14ac:dyDescent="0.35">
      <c r="B12" s="19">
        <v>2</v>
      </c>
      <c r="C12" s="20" t="s">
        <v>36</v>
      </c>
      <c r="D12" s="21" t="s">
        <v>37</v>
      </c>
      <c r="E12" s="18"/>
      <c r="F12" s="19" t="s">
        <v>35</v>
      </c>
    </row>
    <row r="13" spans="2:6" ht="38" customHeight="1" x14ac:dyDescent="0.35">
      <c r="B13" s="15">
        <v>3</v>
      </c>
      <c r="C13" s="16" t="s">
        <v>38</v>
      </c>
      <c r="D13" s="17" t="s">
        <v>39</v>
      </c>
      <c r="E13" s="18"/>
      <c r="F13" s="15" t="s">
        <v>35</v>
      </c>
    </row>
    <row r="14" spans="2:6" ht="38" customHeight="1" x14ac:dyDescent="0.35">
      <c r="B14" s="19">
        <v>4</v>
      </c>
      <c r="C14" s="20" t="s">
        <v>40</v>
      </c>
      <c r="D14" s="21" t="s">
        <v>41</v>
      </c>
      <c r="E14" s="18"/>
      <c r="F14" s="19" t="s">
        <v>35</v>
      </c>
    </row>
    <row r="15" spans="2:6" ht="38" customHeight="1" x14ac:dyDescent="0.35">
      <c r="B15" s="15">
        <v>5</v>
      </c>
      <c r="C15" s="16" t="s">
        <v>42</v>
      </c>
      <c r="D15" s="17" t="s">
        <v>43</v>
      </c>
      <c r="E15" s="18"/>
      <c r="F15" s="15" t="s">
        <v>35</v>
      </c>
    </row>
    <row r="17" spans="2:6" ht="20" customHeight="1" x14ac:dyDescent="0.35">
      <c r="B17" s="47" t="s">
        <v>44</v>
      </c>
      <c r="C17" s="45"/>
      <c r="D17" s="45"/>
      <c r="E17" s="45"/>
      <c r="F17" s="45"/>
    </row>
    <row r="18" spans="2:6" ht="38" customHeight="1" x14ac:dyDescent="0.35">
      <c r="B18" s="22">
        <v>6</v>
      </c>
      <c r="C18" s="20" t="s">
        <v>45</v>
      </c>
      <c r="D18" s="21" t="s">
        <v>46</v>
      </c>
      <c r="E18" s="18"/>
      <c r="F18" s="22" t="s">
        <v>47</v>
      </c>
    </row>
    <row r="19" spans="2:6" ht="38" customHeight="1" x14ac:dyDescent="0.35">
      <c r="B19" s="23">
        <v>7</v>
      </c>
      <c r="C19" s="16" t="s">
        <v>48</v>
      </c>
      <c r="D19" s="17" t="s">
        <v>49</v>
      </c>
      <c r="E19" s="18"/>
      <c r="F19" s="23" t="s">
        <v>47</v>
      </c>
    </row>
    <row r="20" spans="2:6" ht="38" customHeight="1" x14ac:dyDescent="0.35">
      <c r="B20" s="22">
        <v>8</v>
      </c>
      <c r="C20" s="20" t="s">
        <v>50</v>
      </c>
      <c r="D20" s="21" t="s">
        <v>51</v>
      </c>
      <c r="E20" s="18"/>
      <c r="F20" s="22" t="s">
        <v>47</v>
      </c>
    </row>
    <row r="21" spans="2:6" ht="38" customHeight="1" x14ac:dyDescent="0.35">
      <c r="B21" s="23">
        <v>9</v>
      </c>
      <c r="C21" s="16" t="s">
        <v>52</v>
      </c>
      <c r="D21" s="17" t="s">
        <v>53</v>
      </c>
      <c r="E21" s="18"/>
      <c r="F21" s="23" t="s">
        <v>47</v>
      </c>
    </row>
    <row r="22" spans="2:6" ht="38" customHeight="1" x14ac:dyDescent="0.35">
      <c r="B22" s="22">
        <v>10</v>
      </c>
      <c r="C22" s="20" t="s">
        <v>54</v>
      </c>
      <c r="D22" s="21" t="s">
        <v>55</v>
      </c>
      <c r="E22" s="18"/>
      <c r="F22" s="22" t="s">
        <v>47</v>
      </c>
    </row>
    <row r="24" spans="2:6" ht="20" customHeight="1" x14ac:dyDescent="0.35">
      <c r="B24" s="48" t="s">
        <v>56</v>
      </c>
      <c r="C24" s="45"/>
      <c r="D24" s="45"/>
      <c r="E24" s="45"/>
      <c r="F24" s="45"/>
    </row>
    <row r="25" spans="2:6" ht="38" customHeight="1" x14ac:dyDescent="0.35">
      <c r="B25" s="24">
        <v>11</v>
      </c>
      <c r="C25" s="16" t="s">
        <v>57</v>
      </c>
      <c r="D25" s="17" t="s">
        <v>58</v>
      </c>
      <c r="E25" s="18"/>
      <c r="F25" s="24" t="s">
        <v>59</v>
      </c>
    </row>
    <row r="26" spans="2:6" ht="38" customHeight="1" x14ac:dyDescent="0.35">
      <c r="B26" s="25">
        <v>12</v>
      </c>
      <c r="C26" s="20" t="s">
        <v>60</v>
      </c>
      <c r="D26" s="21" t="s">
        <v>61</v>
      </c>
      <c r="E26" s="18"/>
      <c r="F26" s="25" t="s">
        <v>59</v>
      </c>
    </row>
    <row r="27" spans="2:6" ht="38" customHeight="1" x14ac:dyDescent="0.35">
      <c r="B27" s="24">
        <v>13</v>
      </c>
      <c r="C27" s="16" t="s">
        <v>62</v>
      </c>
      <c r="D27" s="17" t="s">
        <v>63</v>
      </c>
      <c r="E27" s="18"/>
      <c r="F27" s="24" t="s">
        <v>59</v>
      </c>
    </row>
    <row r="28" spans="2:6" ht="38" customHeight="1" x14ac:dyDescent="0.35">
      <c r="B28" s="25">
        <v>14</v>
      </c>
      <c r="C28" s="20" t="s">
        <v>64</v>
      </c>
      <c r="D28" s="21" t="s">
        <v>65</v>
      </c>
      <c r="E28" s="18"/>
      <c r="F28" s="25" t="s">
        <v>59</v>
      </c>
    </row>
    <row r="29" spans="2:6" ht="38" customHeight="1" x14ac:dyDescent="0.35">
      <c r="B29" s="24">
        <v>15</v>
      </c>
      <c r="C29" s="16" t="s">
        <v>66</v>
      </c>
      <c r="D29" s="17" t="s">
        <v>67</v>
      </c>
      <c r="E29" s="18"/>
      <c r="F29" s="24" t="s">
        <v>59</v>
      </c>
    </row>
  </sheetData>
  <mergeCells count="9">
    <mergeCell ref="B1:F1"/>
    <mergeCell ref="C5:F5"/>
    <mergeCell ref="B17:F17"/>
    <mergeCell ref="C3:F3"/>
    <mergeCell ref="B24:F24"/>
    <mergeCell ref="C4:F4"/>
    <mergeCell ref="B10:F10"/>
    <mergeCell ref="C6:F6"/>
    <mergeCell ref="C7:F7"/>
  </mergeCells>
  <dataValidations count="1">
    <dataValidation type="list" allowBlank="1" errorTitle="Invalid Entry" error="Please select Yes or No" promptTitle="Response" prompt="Select Yes or No" sqref="E11 E12 E13 E14 E15 E18 E19 E20 E21 E22 E25 E26 E27 E28 E29" xr:uid="{00000000-0002-0000-01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5"/>
  <sheetViews>
    <sheetView showGridLines="0" workbookViewId="0">
      <selection activeCell="D10" sqref="D10"/>
    </sheetView>
  </sheetViews>
  <sheetFormatPr defaultRowHeight="14.5" x14ac:dyDescent="0.35"/>
  <cols>
    <col min="1" max="1" width="4" customWidth="1"/>
    <col min="2" max="2" width="23.54296875" customWidth="1"/>
    <col min="3" max="4" width="14" customWidth="1"/>
    <col min="5" max="5" width="16" customWidth="1"/>
    <col min="6" max="6" width="22" customWidth="1"/>
  </cols>
  <sheetData>
    <row r="1" spans="2:6" ht="32" customHeight="1" x14ac:dyDescent="0.35">
      <c r="B1" s="50" t="s">
        <v>68</v>
      </c>
      <c r="C1" s="45"/>
      <c r="D1" s="45"/>
      <c r="E1" s="45"/>
      <c r="F1" s="45"/>
    </row>
    <row r="3" spans="2:6" ht="20" customHeight="1" x14ac:dyDescent="0.35">
      <c r="B3" s="12" t="s">
        <v>22</v>
      </c>
      <c r="C3" s="53">
        <f>'BIA Questionnaire'!C3</f>
        <v>0</v>
      </c>
      <c r="D3" s="45"/>
      <c r="E3" s="45"/>
      <c r="F3" s="45"/>
    </row>
    <row r="4" spans="2:6" ht="20" customHeight="1" x14ac:dyDescent="0.35">
      <c r="B4" s="12" t="s">
        <v>23</v>
      </c>
      <c r="C4" s="53">
        <f>'BIA Questionnaire'!C4</f>
        <v>0</v>
      </c>
      <c r="D4" s="45"/>
      <c r="E4" s="45"/>
      <c r="F4" s="45"/>
    </row>
    <row r="5" spans="2:6" ht="20" customHeight="1" x14ac:dyDescent="0.35">
      <c r="B5" s="12" t="s">
        <v>24</v>
      </c>
      <c r="C5" s="53">
        <f>'BIA Questionnaire'!C5</f>
        <v>0</v>
      </c>
      <c r="D5" s="45"/>
      <c r="E5" s="45"/>
      <c r="F5" s="45"/>
    </row>
    <row r="6" spans="2:6" ht="20" customHeight="1" x14ac:dyDescent="0.35">
      <c r="B6" s="12" t="s">
        <v>25</v>
      </c>
      <c r="C6" s="53">
        <f>'BIA Questionnaire'!C6</f>
        <v>0</v>
      </c>
      <c r="D6" s="45"/>
      <c r="E6" s="45"/>
      <c r="F6" s="45"/>
    </row>
    <row r="7" spans="2:6" ht="20" customHeight="1" x14ac:dyDescent="0.35">
      <c r="B7" s="12" t="s">
        <v>26</v>
      </c>
      <c r="C7" s="53">
        <f>'BIA Questionnaire'!C7</f>
        <v>0</v>
      </c>
      <c r="D7" s="45"/>
      <c r="E7" s="45"/>
      <c r="F7" s="45"/>
    </row>
    <row r="9" spans="2:6" ht="14" customHeight="1" x14ac:dyDescent="0.35"/>
    <row r="10" spans="2:6" ht="32" customHeight="1" x14ac:dyDescent="0.35">
      <c r="B10" s="60" t="s">
        <v>69</v>
      </c>
      <c r="C10" s="45"/>
      <c r="D10" s="26" t="s">
        <v>59</v>
      </c>
      <c r="E10" s="57" t="str">
        <f>IF(D10="A","Scale A: Range 0.0 – 1.0  |  Low / Medium / High",IF(D10="B","Scale B: Range 1 – 5  |  Very Low / Low / Medium / High / Critical","Scale C: Range 0 – 100%  |  Low / Medium / High"))</f>
        <v>Scale A: Range 0.0 – 1.0  |  Low / Medium / High</v>
      </c>
      <c r="F10" s="45"/>
    </row>
    <row r="11" spans="2:6" ht="20" customHeight="1" x14ac:dyDescent="0.35">
      <c r="B11" s="59" t="s">
        <v>70</v>
      </c>
      <c r="C11" s="45"/>
      <c r="D11" s="45"/>
      <c r="E11" s="45"/>
      <c r="F11" s="45"/>
    </row>
    <row r="13" spans="2:6" ht="24" customHeight="1" x14ac:dyDescent="0.35">
      <c r="B13" s="13" t="s">
        <v>71</v>
      </c>
      <c r="C13" s="13" t="s">
        <v>72</v>
      </c>
      <c r="D13" s="13" t="s">
        <v>73</v>
      </c>
      <c r="E13" s="14" t="s">
        <v>74</v>
      </c>
      <c r="F13" s="13" t="s">
        <v>75</v>
      </c>
    </row>
    <row r="14" spans="2:6" ht="22" customHeight="1" x14ac:dyDescent="0.35">
      <c r="B14" s="27" t="s">
        <v>76</v>
      </c>
      <c r="C14" s="28">
        <f>IFERROR(IF('BIA Questionnaire'!E11="Yes",1,0)+IF('BIA Questionnaire'!E12="Yes",1,0)+IF('BIA Questionnaire'!E13="Yes",1,0)+IF('BIA Questionnaire'!E14="Yes",1,0)+IF('BIA Questionnaire'!E15="Yes",1,0),"")</f>
        <v>0</v>
      </c>
      <c r="D14" s="29">
        <f>IFERROR(C14/5,"")</f>
        <v>0</v>
      </c>
      <c r="E14" s="30">
        <f>IFERROR(IF(D10="A",D14,IF(D10="B",(D14*4)+1,IF(D10="C",D14*100,""))),"Fill Answers")</f>
        <v>0</v>
      </c>
      <c r="F14" s="31" t="str">
        <f>IF(E14="Fill Answers","—",IF(D10="A",IF(E14&lt;=0.33,"LOW",IF(E14&lt;=0.66,"MEDIUM","HIGH")),IF(D10="B",IF(E14&lt;=1.8,"VERY LOW",IF(E14&lt;=2.6,"LOW",IF(E14&lt;=3.4,"MEDIUM",IF(E14&lt;=4.2,"HIGH","CRITICAL")))),IF(D10="C",IF(E14&lt;=33,"LOW",IF(E14&lt;=66,"MEDIUM","HIGH")),"—"))))</f>
        <v>LOW</v>
      </c>
    </row>
    <row r="15" spans="2:6" ht="22" customHeight="1" x14ac:dyDescent="0.35">
      <c r="B15" s="32" t="s">
        <v>77</v>
      </c>
      <c r="C15" s="28">
        <f>IFERROR(IF('BIA Questionnaire'!E18="Yes",1,0)+IF('BIA Questionnaire'!E19="Yes",1,0)+IF('BIA Questionnaire'!E20="Yes",1,0)+IF('BIA Questionnaire'!E21="Yes",1,0)+IF('BIA Questionnaire'!E22="Yes",1,0),"")</f>
        <v>0</v>
      </c>
      <c r="D15" s="29">
        <f>IFERROR(C15/5,"")</f>
        <v>0</v>
      </c>
      <c r="E15" s="33">
        <f>IFERROR(IF(D10="A",D15,IF(D10="B",(D15*4)+1,IF(D10="C",D15*100,""))),"Fill Answers")</f>
        <v>0</v>
      </c>
      <c r="F15" s="31" t="str">
        <f>IF(E15="Fill Answers","—",IF(D10="A",IF(E15&lt;=0.33,"LOW",IF(E15&lt;=0.66,"MEDIUM","HIGH")),IF(D10="B",IF(E15&lt;=1.8,"VERY LOW",IF(E15&lt;=2.6,"LOW",IF(E15&lt;=3.4,"MEDIUM",IF(E15&lt;=4.2,"HIGH","CRITICAL")))),IF(D10="C",IF(E15&lt;=33,"LOW",IF(E15&lt;=66,"MEDIUM","HIGH")),"—"))))</f>
        <v>LOW</v>
      </c>
    </row>
    <row r="16" spans="2:6" ht="22" customHeight="1" x14ac:dyDescent="0.35">
      <c r="B16" s="34" t="s">
        <v>78</v>
      </c>
      <c r="C16" s="28">
        <f>IFERROR(IF('BIA Questionnaire'!E25="Yes",1,0)+IF('BIA Questionnaire'!E26="Yes",1,0)+IF('BIA Questionnaire'!E27="Yes",1,0)+IF('BIA Questionnaire'!E28="Yes",1,0)+IF('BIA Questionnaire'!E29="Yes",1,0),"")</f>
        <v>0</v>
      </c>
      <c r="D16" s="29">
        <f>IFERROR(C16/5,"")</f>
        <v>0</v>
      </c>
      <c r="E16" s="35">
        <f>IFERROR(IF(D10="A",D16,IF(D10="B",(D16*4)+1,IF(D10="C",D16*100,""))),"Fill Answers")</f>
        <v>0</v>
      </c>
      <c r="F16" s="31" t="str">
        <f>IF(E16="Fill Answers","—",IF(D10="A",IF(E16&lt;=0.33,"LOW",IF(E16&lt;=0.66,"MEDIUM","HIGH")),IF(D10="B",IF(E16&lt;=1.8,"VERY LOW",IF(E16&lt;=2.6,"LOW",IF(E16&lt;=3.4,"MEDIUM",IF(E16&lt;=4.2,"HIGH","CRITICAL")))),IF(D10="C",IF(E16&lt;=33,"LOW",IF(E16&lt;=66,"MEDIUM","HIGH")),"—"))))</f>
        <v>LOW</v>
      </c>
    </row>
    <row r="18" spans="2:6" ht="30" customHeight="1" x14ac:dyDescent="0.35">
      <c r="B18" s="52" t="s">
        <v>79</v>
      </c>
      <c r="C18" s="45"/>
      <c r="D18" s="37">
        <f>IFERROR(AVERAGE(D14,D15,D16),"Incomplete")</f>
        <v>0</v>
      </c>
      <c r="E18" s="38">
        <f>IFERROR(IF(D10="A",D18,IF(D10="B",(D18*4)+1,IF(D10="C",D18*100,""))),"Incomplete")</f>
        <v>0</v>
      </c>
      <c r="F18" s="36" t="str">
        <f>IF(E18="Incomplete","Fill all answers",IF(D10="A",IF(E18&lt;=0.33,"LOW IMPACT",IF(E18&lt;=0.66,"MEDIUM IMPACT","HIGH IMPACT")),IF(D10="B",IF(E18&lt;=1.8,"VERY LOW IMPACT",IF(E18&lt;=2.6,"LOW IMPACT",IF(E18&lt;=3.4,"MEDIUM IMPACT",IF(E18&lt;=4.2,"HIGH IMPACT","CRITICAL IMPACT")))),IF(D10="C",IF(E18&lt;=33,"LOW IMPACT",IF(E18&lt;=66,"MEDIUM IMPACT","HIGH IMPACT")),"—"))))</f>
        <v>LOW IMPACT</v>
      </c>
    </row>
    <row r="20" spans="2:6" ht="18" customHeight="1" x14ac:dyDescent="0.35">
      <c r="B20" s="58" t="s">
        <v>80</v>
      </c>
      <c r="C20" s="45"/>
      <c r="D20" s="45"/>
      <c r="E20" s="45"/>
      <c r="F20" s="45"/>
    </row>
    <row r="21" spans="2:6" ht="20" customHeight="1" x14ac:dyDescent="0.35">
      <c r="B21" s="39" t="str">
        <f>IF(D10="B","VERY LOW  :  1.00 – 1.80","—  (not applicable for this scale)")</f>
        <v>—  (not applicable for this scale)</v>
      </c>
      <c r="C21" s="61" t="str">
        <f>IF(D10="B","All No answers; negligible risk","")</f>
        <v/>
      </c>
      <c r="D21" s="45"/>
      <c r="E21" s="45"/>
      <c r="F21" s="45"/>
    </row>
    <row r="22" spans="2:6" ht="20" customHeight="1" x14ac:dyDescent="0.35">
      <c r="B22" s="40" t="str">
        <f>IF(D10="A","LOW  :  0.00 – 0.33",IF(D10="B","LOW  :  1.81 – 2.60","LOW  :  0% – 33%"))</f>
        <v>LOW  :  0.00 – 0.33</v>
      </c>
      <c r="C22" s="55" t="s">
        <v>81</v>
      </c>
      <c r="D22" s="45"/>
      <c r="E22" s="45"/>
      <c r="F22" s="45"/>
    </row>
    <row r="23" spans="2:6" ht="20" customHeight="1" x14ac:dyDescent="0.35">
      <c r="B23" s="41" t="str">
        <f>IF(D10="A","MEDIUM  :  0.34 – 0.66",IF(D10="B","MEDIUM  :  2.61 – 3.40","MEDIUM  :  34% – 66%"))</f>
        <v>MEDIUM  :  0.34 – 0.66</v>
      </c>
      <c r="C23" s="56" t="s">
        <v>82</v>
      </c>
      <c r="D23" s="45"/>
      <c r="E23" s="45"/>
      <c r="F23" s="45"/>
    </row>
    <row r="24" spans="2:6" ht="20" customHeight="1" x14ac:dyDescent="0.35">
      <c r="B24" s="42" t="str">
        <f>IF(D10="A","HIGH  :  0.67 – 1.00",IF(D10="B","HIGH  :  3.41 – 4.20","HIGH  :  67% – 100%"))</f>
        <v>HIGH  :  0.67 – 1.00</v>
      </c>
      <c r="C24" s="54" t="s">
        <v>83</v>
      </c>
      <c r="D24" s="45"/>
      <c r="E24" s="45"/>
      <c r="F24" s="45"/>
    </row>
    <row r="25" spans="2:6" ht="20" customHeight="1" x14ac:dyDescent="0.35">
      <c r="B25" s="43" t="str">
        <f>IF(D10="B","CRITICAL  :  4.21 – 5.00","—  (not applicable for this scale)")</f>
        <v>—  (not applicable for this scale)</v>
      </c>
      <c r="C25" s="51" t="str">
        <f>IF(D10="B","Severe impact; top-priority protection required","")</f>
        <v/>
      </c>
      <c r="D25" s="45"/>
      <c r="E25" s="45"/>
      <c r="F25" s="45"/>
    </row>
  </sheetData>
  <mergeCells count="16">
    <mergeCell ref="B1:F1"/>
    <mergeCell ref="C25:F25"/>
    <mergeCell ref="B18:C18"/>
    <mergeCell ref="C5:F5"/>
    <mergeCell ref="C24:F24"/>
    <mergeCell ref="C22:F22"/>
    <mergeCell ref="C3:F3"/>
    <mergeCell ref="C23:F23"/>
    <mergeCell ref="E10:F10"/>
    <mergeCell ref="C4:F4"/>
    <mergeCell ref="B20:F20"/>
    <mergeCell ref="B11:F11"/>
    <mergeCell ref="B10:C10"/>
    <mergeCell ref="C6:F6"/>
    <mergeCell ref="C7:F7"/>
    <mergeCell ref="C21:F21"/>
  </mergeCells>
  <dataValidations count="1">
    <dataValidation type="list" promptTitle="Select Scale" prompt="A = 0–1  |  B = 1–5  |  C = 0–100%" sqref="D10" xr:uid="{00000000-0002-0000-0200-000000000000}">
      <formula1>"A,B,C"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BIA Questionnaire</vt:lpstr>
      <vt:lpstr>BIA Score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Aadhavan GS [EXT]</cp:lastModifiedBy>
  <dcterms:created xsi:type="dcterms:W3CDTF">2026-07-06T18:26:48Z</dcterms:created>
  <dcterms:modified xsi:type="dcterms:W3CDTF">2026-07-16T18:18:36Z</dcterms:modified>
</cp:coreProperties>
</file>