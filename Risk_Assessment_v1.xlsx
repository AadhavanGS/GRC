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bb-my.sharepoint.com/personal/aadhavan_gs_in_abb_com/Documents/github/"/>
    </mc:Choice>
  </mc:AlternateContent>
  <xr:revisionPtr revIDLastSave="14" documentId="13_ncr:1_{8AB896CA-A819-4024-A66A-75594A825FAF}" xr6:coauthVersionLast="47" xr6:coauthVersionMax="47" xr10:uidLastSave="{49DA7041-D349-4EA3-B0B4-7D57DD811291}"/>
  <bookViews>
    <workbookView xWindow="-110" yWindow="-110" windowWidth="19420" windowHeight="11500" activeTab="4" xr2:uid="{00000000-000D-0000-FFFF-FFFF00000000}"/>
  </bookViews>
  <sheets>
    <sheet name="Instructions" sheetId="1" r:id="rId1"/>
    <sheet name="Risk Register" sheetId="2" r:id="rId2"/>
    <sheet name="Likelihood Guide" sheetId="3" r:id="rId3"/>
    <sheet name="Impact Guide" sheetId="4" r:id="rId4"/>
    <sheet name="Risk Matri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N10" i="2"/>
  <c r="T10" i="2" s="1"/>
  <c r="U10" i="2" s="1"/>
  <c r="S9" i="2"/>
  <c r="N9" i="2"/>
  <c r="T9" i="2" s="1"/>
  <c r="U9" i="2" s="1"/>
  <c r="S8" i="2"/>
  <c r="N8" i="2"/>
  <c r="T8" i="2" s="1"/>
  <c r="U8" i="2" s="1"/>
  <c r="S7" i="2"/>
  <c r="N7" i="2"/>
  <c r="T7" i="2" s="1"/>
  <c r="U7" i="2" s="1"/>
  <c r="S6" i="2"/>
  <c r="N6" i="2"/>
  <c r="T6" i="2" s="1"/>
  <c r="U6" i="2" s="1"/>
  <c r="S5" i="2"/>
  <c r="N5" i="2"/>
  <c r="T5" i="2" s="1"/>
  <c r="U5" i="2" s="1"/>
  <c r="S4" i="2"/>
  <c r="N4" i="2"/>
  <c r="T4" i="2" s="1"/>
  <c r="U4" i="2" s="1"/>
  <c r="S3" i="2"/>
  <c r="N3" i="2"/>
  <c r="T3" i="2" s="1"/>
  <c r="U3" i="2" s="1"/>
</calcChain>
</file>

<file path=xl/sharedStrings.xml><?xml version="1.0" encoding="utf-8"?>
<sst xmlns="http://schemas.openxmlformats.org/spreadsheetml/2006/main" count="373" uniqueCount="272">
  <si>
    <t>RISK ASSESSMENT TOOL  v1  —  HOW TO USE</t>
  </si>
  <si>
    <t>STEP 1</t>
  </si>
  <si>
    <t>Run BIA Tool for each asset</t>
  </si>
  <si>
    <t>Use your BIA Template to assess each asset. The BIA output score (1–5) = Asset Value. Enter this score in Column D (Asset Value) of the Risk Register.</t>
  </si>
  <si>
    <t>STEP 2</t>
  </si>
  <si>
    <t>List Asset, Threat &amp; Vulnerability</t>
  </si>
  <si>
    <t>In the Risk Register, enter Asset Name, Asset Category, Threat, Threat Type (Adversarial or Non-Adversarial), and the specific Vulnerability being exploited.</t>
  </si>
  <si>
    <t>STEP 3</t>
  </si>
  <si>
    <t>Score Likelihood (Columns I–M)</t>
  </si>
  <si>
    <t>Refer to the 'Likelihood Guide' sheet. Answer the checkpoint questions for each of the 5 factors (L1: Threat Capability, L2: Intent, L3: Targeting, L4: Control Weakness, L5: Vulnerability Severity). Score each 1–5. The Likelihood Score (Column N) is auto-calculated as ROUND(AVERAGE(L1:L5), 0).</t>
  </si>
  <si>
    <t>STEP 4</t>
  </si>
  <si>
    <t>Score Impact — 4 Dimensions (Columns O–R)</t>
  </si>
  <si>
    <t>Refer to the 'Impact Guide' sheet. Score each of the 4 impact dimensions: Financial (O), Regulatory/Legal (P), Operational (Q), Reputational (R). Score each 1–5. The Impact Score (Column S) is auto-calculated as MAX of all 4 — this ensures the worst-case dimension drives the risk score.</t>
  </si>
  <si>
    <t>STEP 5</t>
  </si>
  <si>
    <t>Review Auto-Calculated Risk Score (Column T) &amp; Risk Level (Column U)</t>
  </si>
  <si>
    <t>Risk Score = Likelihood Score × Impact Score (range: 1–25). Risk Level is auto-assigned: Critical (20–25), High (12–19), Medium (6–11), Low (1–5). Colour coding is applied automatically.</t>
  </si>
  <si>
    <t>STEP 6</t>
  </si>
  <si>
    <t>Define Risk Treatment</t>
  </si>
  <si>
    <t>STEP 7</t>
  </si>
  <si>
    <t>Review &amp; Update</t>
  </si>
  <si>
    <t>Review the risk register at minimum annually, and after any significant change (new system, incident, regulatory change). Update scores as controls are implemented.</t>
  </si>
  <si>
    <t>ASSET INFORMATION</t>
  </si>
  <si>
    <t>RISK SCENARIO</t>
  </si>
  <si>
    <t>LIKELIHOOD ASSESSMENT</t>
  </si>
  <si>
    <t>IMPACT ASSESSMENT</t>
  </si>
  <si>
    <t>RISK OUTPUT</t>
  </si>
  <si>
    <t>RISK TREATMENT &amp; TRACKING</t>
  </si>
  <si>
    <t>Asset Name</t>
  </si>
  <si>
    <t>Asset Category</t>
  </si>
  <si>
    <t>Asset Value
(BIA 1-5)</t>
  </si>
  <si>
    <t>Threat</t>
  </si>
  <si>
    <t>Threat Type</t>
  </si>
  <si>
    <t>Vulnerability</t>
  </si>
  <si>
    <t>Risk Description</t>
  </si>
  <si>
    <t>L1
Threat
Capability
(1-5)</t>
  </si>
  <si>
    <t>L2
Threat
Intent
(1-5)</t>
  </si>
  <si>
    <t>L3
Threat
Targeting
(1-5)</t>
  </si>
  <si>
    <t>L4
Control
Weakness
(1-5)</t>
  </si>
  <si>
    <t>L5
Vuln
Severity
(1-5)</t>
  </si>
  <si>
    <t>LIKELIHOOD
SCORE
(1-5)</t>
  </si>
  <si>
    <t>Financial
Impact
(1-5)</t>
  </si>
  <si>
    <t>Regulatory/
Legal
(1-5)</t>
  </si>
  <si>
    <t>Operational
Impact
(1-5)</t>
  </si>
  <si>
    <t>Reputational
Impact
(1-5)</t>
  </si>
  <si>
    <t>IMPACT
SCORE
(1-5)</t>
  </si>
  <si>
    <t>RISK
SCORE
(L×I)</t>
  </si>
  <si>
    <t>RISK
LEVEL</t>
  </si>
  <si>
    <t>Risk
Treatment</t>
  </si>
  <si>
    <t>ISO 27001
Annex A Control</t>
  </si>
  <si>
    <t>Risk Owner</t>
  </si>
  <si>
    <t>Target
Date</t>
  </si>
  <si>
    <t>Status</t>
  </si>
  <si>
    <t>Customer Database</t>
  </si>
  <si>
    <t>Data</t>
  </si>
  <si>
    <t>SQL Injection</t>
  </si>
  <si>
    <t>Adversarial</t>
  </si>
  <si>
    <t>Unpatched web application</t>
  </si>
  <si>
    <t>Attacker gains unauthorised access to customer PII</t>
  </si>
  <si>
    <t>A.8.25 – Secure development lifecycle; WAF implementation</t>
  </si>
  <si>
    <t>IT Security Manager</t>
  </si>
  <si>
    <t>2026-09-30</t>
  </si>
  <si>
    <t>Open</t>
  </si>
  <si>
    <t>Employee Laptops</t>
  </si>
  <si>
    <t>Endpoint</t>
  </si>
  <si>
    <t>Ransomware via Phishing</t>
  </si>
  <si>
    <t>No EDR; outdated antivirus; no security awareness training</t>
  </si>
  <si>
    <t>Device encryption causes operational downtime and potential data exfiltration</t>
  </si>
  <si>
    <t>A.8.7 – Protection against malware; A.6.3 – Awareness training</t>
  </si>
  <si>
    <t>IT Support Lead</t>
  </si>
  <si>
    <t>2026-08-31</t>
  </si>
  <si>
    <t>In Progress</t>
  </si>
  <si>
    <t>Active Directory</t>
  </si>
  <si>
    <t>Identity</t>
  </si>
  <si>
    <t>Privilege Escalation</t>
  </si>
  <si>
    <t>Excessive admin rights; no PAM solution</t>
  </si>
  <si>
    <t>Attacker gains domain-admin control over entire IT infrastructure</t>
  </si>
  <si>
    <t>A.8.2 – Privileged access rights; A.5.15 – Access control policy</t>
  </si>
  <si>
    <t>IAM Owner</t>
  </si>
  <si>
    <t>2026-08-15</t>
  </si>
  <si>
    <t>Physical Server Room</t>
  </si>
  <si>
    <t>Physical</t>
  </si>
  <si>
    <t>Unauthorised Physical Access</t>
  </si>
  <si>
    <t>No biometric / badge access; no CCTV coverage</t>
  </si>
  <si>
    <t>Physical tampering or theft of servers leads to data loss</t>
  </si>
  <si>
    <t>A.7.2 – Physical entry controls; A.7.4 – Physical security monitoring</t>
  </si>
  <si>
    <t>Facilities Manager</t>
  </si>
  <si>
    <t>2026-10-31</t>
  </si>
  <si>
    <t>Planned</t>
  </si>
  <si>
    <t>Cloud Storage (S3)</t>
  </si>
  <si>
    <t>Cloud</t>
  </si>
  <si>
    <t>Misconfiguration – Public Bucket</t>
  </si>
  <si>
    <t>Bucket access policy allows public read; no config audit</t>
  </si>
  <si>
    <t>Sensitive data exposed to internet — regulatory breach risk</t>
  </si>
  <si>
    <t>A.8.9 – Configuration management; A.5.23 – Cloud security</t>
  </si>
  <si>
    <t>Cloud Architect</t>
  </si>
  <si>
    <t>2026-08-01</t>
  </si>
  <si>
    <t>Email Server</t>
  </si>
  <si>
    <t>Infrastructure</t>
  </si>
  <si>
    <t>Business Email Compromise (BEC)</t>
  </si>
  <si>
    <t>No DMARC/DKIM; lack of user phishing training</t>
  </si>
  <si>
    <t>Executive impersonation leads to fraudulent financial transactions</t>
  </si>
  <si>
    <t>A.8.23 – Web filtering; A.6.3 – Awareness training</t>
  </si>
  <si>
    <t>IT Manager</t>
  </si>
  <si>
    <t>2026-09-15</t>
  </si>
  <si>
    <t>Backup Tapes</t>
  </si>
  <si>
    <t>Physical Theft of Backup Media</t>
  </si>
  <si>
    <t>Unencrypted tapes; no chain-of-custody log</t>
  </si>
  <si>
    <t>Loss of confidential backup data to unauthorised party</t>
  </si>
  <si>
    <t>A.8.13 – Information backup; A.7.10 – Storage media</t>
  </si>
  <si>
    <t>2026-10-01</t>
  </si>
  <si>
    <t>Power Supply (UPS)</t>
  </si>
  <si>
    <t>Power Failure / Outage</t>
  </si>
  <si>
    <t>Non-Adversarial</t>
  </si>
  <si>
    <t>No redundant UPS; single power feed; no generator</t>
  </si>
  <si>
    <t>Unplanned server shutdown causes data corruption and business downtime</t>
  </si>
  <si>
    <t>A.7.11 – Supporting utilities; A.8.14 – Redundancy</t>
  </si>
  <si>
    <t>2026-11-30</t>
  </si>
  <si>
    <t>For each ADVERSARIAL threat, score L1–L5. For NON-ADVERSARIAL threats (hardware failure, natural disaster, human error), score L1–L3 as 1 (N/A) and focus on L4–L5.</t>
  </si>
  <si>
    <t>📋  L1 — Threat Capability</t>
  </si>
  <si>
    <t>Definition: How technically skilled or capable is the attacker to exploit this vulnerability?</t>
  </si>
  <si>
    <t>Score</t>
  </si>
  <si>
    <t>Criteria</t>
  </si>
  <si>
    <t>Checkpoint Questions to Ask</t>
  </si>
  <si>
    <t>1 – Very Low</t>
  </si>
  <si>
    <t>Script kiddie / opportunist; no real skill; only uses publicly available, fully automated tools with no customisation</t>
  </si>
  <si>
    <t>• Is exploit code publicly available for this vulnerability?</t>
  </si>
  <si>
    <t>2 – Low</t>
  </si>
  <si>
    <t>Basic technical knowledge; can follow tutorials; limited to known exploits with step-by-step guides</t>
  </si>
  <si>
    <t>• Does the attacker need insider knowledge of our systems?</t>
  </si>
  <si>
    <t>3 – Moderate</t>
  </si>
  <si>
    <t>Competent attacker; familiar with common attack frameworks (Metasploit, etc.); can adapt tools</t>
  </si>
  <si>
    <t>• What skill level does MITRE ATT&amp;CK assign to this technique?</t>
  </si>
  <si>
    <t>4 – High</t>
  </si>
  <si>
    <t>Skilled professional; can develop custom exploits; understands target architecture; organised crime group</t>
  </si>
  <si>
    <t>• Has this vulnerability been exploited in the wild before?</t>
  </si>
  <si>
    <t>5 – Very High</t>
  </si>
  <si>
    <t>Nation-state / APT actor; zero-day exploit capability; unlimited resources and time</t>
  </si>
  <si>
    <t xml:space="preserve">• </t>
  </si>
  <si>
    <t>📋  L2 — Threat Intent / Motivation</t>
  </si>
  <si>
    <t>Definition: Does the threat actor have a specific reason to attack this organisation or this asset?</t>
  </si>
  <si>
    <t>No known motivation; random opportunistic attack unlikely against us specifically</t>
  </si>
  <si>
    <t>• Is our industry a common target for this type of threat?</t>
  </si>
  <si>
    <t>General motivation exists (e.g., financial) but we are not a particularly attractive target</t>
  </si>
  <si>
    <t>• Do we hold data (IP, PII, financial) that makes us attractive?</t>
  </si>
  <si>
    <t>We operate in a sector commonly targeted; moderate financial/political motivation visible</t>
  </si>
  <si>
    <t>• Have we received prior threats, ransom attempts, or phishing targeting us?</t>
  </si>
  <si>
    <t>Our organisation/industry is a well-known target; active threat intelligence indicates interest</t>
  </si>
  <si>
    <t>• Is there geopolitical or competitive motivation (insider, nation-state)?</t>
  </si>
  <si>
    <t>Direct, confirmed motivation; active targeting observed; we hold extremely high-value data (IP, govt, finance)</t>
  </si>
  <si>
    <t>📋  L3 — Threat Targeting</t>
  </si>
  <si>
    <t>Definition: Is our organisation specifically being targeted, or are we a random victim of mass attacks?</t>
  </si>
  <si>
    <t>Mass/spray attack; we are one of millions of targets; no specific targeting</t>
  </si>
  <si>
    <t>• Are our systems/IP ranges visible in threat intelligence feeds?</t>
  </si>
  <si>
    <t>Broad sector targeting; attackers target our industry but not us specifically</t>
  </si>
  <si>
    <t>• Have we detected active scanning or probing of our perimeter?</t>
  </si>
  <si>
    <t>Our organisation name/IP appears in threat feeds; spear-phishing observed</t>
  </si>
  <si>
    <t>• Have we received targeted phishing emails mentioning our company?</t>
  </si>
  <si>
    <t>Active scanning/probing of our infrastructure detected; direct spear-phishing received</t>
  </si>
  <si>
    <t>• Is our organisation publicly listed as a target by any threat group?</t>
  </si>
  <si>
    <t>Confirmed targeted attack campaign against us; threat actor has internal knowledge</t>
  </si>
  <si>
    <t>📋  L4 — Control Weakness</t>
  </si>
  <si>
    <t>Definition: How weak are the existing security controls protecting this asset from this threat? (Higher = weaker controls = higher likelihood)</t>
  </si>
  <si>
    <t>Strong, layered controls fully in place; regularly tested; no known gaps</t>
  </si>
  <si>
    <t>• Is there a security control specifically for this threat? Is it working?</t>
  </si>
  <si>
    <t>Controls mostly in place; minor gaps exist; last tested within 6 months</t>
  </si>
  <si>
    <t>• When were the controls last tested (pen test, audit, scan)?</t>
  </si>
  <si>
    <t>Some controls exist but patchy; not consistently applied; tested &gt;1 year ago</t>
  </si>
  <si>
    <t>• Are there known exceptions or bypass paths for this control?</t>
  </si>
  <si>
    <t>Controls are insufficient; major gaps; controls exist on paper but not effectively implemented</t>
  </si>
  <si>
    <t>• Is there a monitoring/detection capability for this threat?</t>
  </si>
  <si>
    <t>No meaningful controls in place; completely unprotected; no monitoring or detection capability</t>
  </si>
  <si>
    <t>📋  L5 — Vulnerability Severity</t>
  </si>
  <si>
    <t>Definition: How severe is the specific vulnerability that this threat could exploit?</t>
  </si>
  <si>
    <t>Theoretical vulnerability; no known exploit; extremely difficult to exploit</t>
  </si>
  <si>
    <t>• Is there a CVE for this vulnerability? What is the CVSS score?</t>
  </si>
  <si>
    <t>CVE exists; CVSS score &lt;4; limited exploitability; requires physical access or insider</t>
  </si>
  <si>
    <t>• Is there a publicly available working exploit?</t>
  </si>
  <si>
    <t>CVE exists; CVSS 4–6.9; exploit available but requires skill or specific conditions</t>
  </si>
  <si>
    <t>• Has this vulnerability been patched? If not, how long has it been unpatched?</t>
  </si>
  <si>
    <t>CVE exists; CVSS 7–8.9; exploit publicly available; remotely exploitable; actively exploited in the wild</t>
  </si>
  <si>
    <t>• Is this vulnerability being actively exploited in the wild (CISA KEV list)?</t>
  </si>
  <si>
    <t>CVE exists; CVSS 9–10; zero-day or unpatched critical; no compensating controls; widely exploited</t>
  </si>
  <si>
    <t>IMPACT SCORING GUIDE  —  4 Dimensions (Score the MAX as final Impact Score)</t>
  </si>
  <si>
    <t>Score each dimension independently (1–5). The IMPACT SCORE in the Risk Register = MAX of all 4 dimensions. This ensures that even if one dimension scores critically, the overall impact reflects the worst case.</t>
  </si>
  <si>
    <t>💰  FINANCIAL IMPACT (Column O)</t>
  </si>
  <si>
    <t>Definition: What is the direct monetary damage if this risk materialises?</t>
  </si>
  <si>
    <t>Checkpoint Questions</t>
  </si>
  <si>
    <t>1 – Negligible</t>
  </si>
  <si>
    <t>&lt; ₹50K / &lt;$1K loss; no meaningful financial consequence; absorbed within normal operations</t>
  </si>
  <si>
    <t>• What is the estimated cost of incident response and recovery?</t>
  </si>
  <si>
    <t>2 – Minor</t>
  </si>
  <si>
    <t>₹50K–5L / $1K–10K; minor financial loss; easily recovered within current budget</t>
  </si>
  <si>
    <t>• What is the revenue loss per hour/day if this system is unavailable?</t>
  </si>
  <si>
    <t>₹5L–50L / $10K–100K; significant financial impact; requires budget reallocation</t>
  </si>
  <si>
    <t>• Are there contractual penalties with customers/partners if SLAs are breached?</t>
  </si>
  <si>
    <t>4 – Severe</t>
  </si>
  <si>
    <t>₹50L–5Cr / $100K–1M; major financial loss; impacts annual budget; board-level attention needed</t>
  </si>
  <si>
    <t>• What are the forensic investigation and legal costs?</t>
  </si>
  <si>
    <t>5 – Critical</t>
  </si>
  <si>
    <t>&gt; ₹5Cr / &gt;$1M; catastrophic financial loss; threatens organisational viability; potential insolvency</t>
  </si>
  <si>
    <t>• What is the cost of data reconstruction or asset replacement?</t>
  </si>
  <si>
    <t>💰  REGULATORY / LEGAL IMPACT (Column P)</t>
  </si>
  <si>
    <t>Definition: What are the legal, regulatory, and compliance consequences?</t>
  </si>
  <si>
    <t>No regulatory obligation for this asset/data; no legal exposure</t>
  </si>
  <si>
    <t>Minor compliance deviation; internally reportable; no mandatory external notification</t>
  </si>
  <si>
    <t>• Is there a mandatory breach notification requirement (and what is the timeline)?</t>
  </si>
  <si>
    <t>• What are the maximum fines applicable under relevant regulations?</t>
  </si>
  <si>
    <t>Significant regulatory fine likely; mandatory notification to regulator + affected parties; licence risk</t>
  </si>
  <si>
    <t>• Are there contractual/SLA obligations that this breach would violate?</t>
  </si>
  <si>
    <t>Maximum regulatory fine applicable (e.g., GDPR: 4% global turnover); criminal liability; licence revocation</t>
  </si>
  <si>
    <t>• Could this trigger a regulator audit or investigation?</t>
  </si>
  <si>
    <t>💰  OPERATIONAL IMPACT (Column Q)</t>
  </si>
  <si>
    <t>Definition: What is the impact on business operations, productivity, and service delivery?</t>
  </si>
  <si>
    <t>No operational disruption; workaround immediately available; &lt;1 hour impact</t>
  </si>
  <si>
    <t>• How many business processes depend on this asset?</t>
  </si>
  <si>
    <t>Minor disruption to non-critical process; manual workaround available; &lt;1 business day</t>
  </si>
  <si>
    <t>• What is the Maximum Tolerable Downtime (MTD) for this asset? (from BIA)</t>
  </si>
  <si>
    <t>Significant disruption to important process; no immediate workaround; 1–3 business days</t>
  </si>
  <si>
    <t>• Is there a manual/backup process available during downtime?</t>
  </si>
  <si>
    <t>Critical business process halted; customer-facing services affected; 3–7 days to recover</t>
  </si>
  <si>
    <t>• How many staff and customers are affected by an outage?</t>
  </si>
  <si>
    <t>Complete operational shutdown; mission-critical systems unavailable; &gt;7 days; disaster recovery invoked</t>
  </si>
  <si>
    <t>• Does this affect external customer-facing services or SLAs?</t>
  </si>
  <si>
    <t>💰  REPUTATIONAL IMPACT (Column R)</t>
  </si>
  <si>
    <t>Definition: What is the impact on the organisation's brand, customer trust, and public perception?</t>
  </si>
  <si>
    <t>No public visibility; internal issue only; no customer or media impact</t>
  </si>
  <si>
    <t>• Would this breach/incident be publicly reportable?</t>
  </si>
  <si>
    <t>Limited internal awareness; minor customer complaints; easily resolved with communication</t>
  </si>
  <si>
    <t>• Does this involve customer data that, if leaked, would cause public outcry?</t>
  </si>
  <si>
    <t>Local/industry media coverage possible; noticeable customer concern; trust partially affected</t>
  </si>
  <si>
    <t>• Have competitors experienced similar incidents and what was the PR impact?</t>
  </si>
  <si>
    <t>National media coverage; significant customer churn likely; partner/investor concerns raised</t>
  </si>
  <si>
    <t>• Would this breach require a public apology or press statement?</t>
  </si>
  <si>
    <t>International media coverage; severe brand damage; mass customer loss; stock price impact; CEO-level crisis</t>
  </si>
  <si>
    <t>• Could this affect investor confidence or stock valuation?</t>
  </si>
  <si>
    <t>1
Very Low</t>
  </si>
  <si>
    <t>2
Low</t>
  </si>
  <si>
    <t>3
Moderate</t>
  </si>
  <si>
    <t>4
High</t>
  </si>
  <si>
    <t>5
Very High</t>
  </si>
  <si>
    <t>IMPACT →</t>
  </si>
  <si>
    <t>5
LOW</t>
  </si>
  <si>
    <t>10
MEDIUM</t>
  </si>
  <si>
    <t>15
HIGH</t>
  </si>
  <si>
    <t>20
CRITICAL</t>
  </si>
  <si>
    <t>25
CRITICAL</t>
  </si>
  <si>
    <t>4
LOW</t>
  </si>
  <si>
    <t>8
MEDIUM</t>
  </si>
  <si>
    <t>12
HIGH</t>
  </si>
  <si>
    <t>16
HIGH</t>
  </si>
  <si>
    <t>3
LOW</t>
  </si>
  <si>
    <t>6
MEDIUM</t>
  </si>
  <si>
    <t>9
MEDIUM</t>
  </si>
  <si>
    <t>2
LOW</t>
  </si>
  <si>
    <t>1
LOW</t>
  </si>
  <si>
    <t>LEGEND</t>
  </si>
  <si>
    <t>Critical</t>
  </si>
  <si>
    <t>Score 20–25</t>
  </si>
  <si>
    <t>High</t>
  </si>
  <si>
    <t>Score 12–19</t>
  </si>
  <si>
    <t>Medium</t>
  </si>
  <si>
    <t>Score 6–11</t>
  </si>
  <si>
    <t>Low</t>
  </si>
  <si>
    <t>Score 1–5</t>
  </si>
  <si>
    <t>Mitigate</t>
  </si>
  <si>
    <t>R_ID</t>
  </si>
  <si>
    <t>• Does this asset hold personal data covered by GDPR / India DPDPA / HIPAA?</t>
  </si>
  <si>
    <t>Regulatory obligation exists (e.g., DPDPA/GDPR); breach notification required; potential warning</t>
  </si>
  <si>
    <t>For each risk, choose treatment: Mitigate (apply controls), Avoid (stop the activity), Transfer (insurance/outsourcing), or Retain (accept). Document the ISO 27001 Annex A control, risk owner, target date, and status.</t>
  </si>
  <si>
    <t>LIKELIHOOD SCORING GUIDE  —  Checkpoint Questions</t>
  </si>
  <si>
    <t>ISO 27001 RISK MATRIX  —  Likelihood × Impact</t>
  </si>
  <si>
    <t xml:space="preserve">LIKELIHOOD ↓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</si>
</sst>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2D2D2D"/>
      <name val="Arial"/>
    </font>
    <font>
      <b/>
      <sz val="9"/>
      <color rgb="FF1A3A1A"/>
      <name val="Arial"/>
    </font>
    <font>
      <b/>
      <sz val="9"/>
      <color rgb="FF7B3F00"/>
      <name val="Arial"/>
    </font>
    <font>
      <b/>
      <sz val="12"/>
      <color rgb="FFFFFFFF"/>
      <name val="Arial"/>
    </font>
    <font>
      <i/>
      <sz val="9"/>
      <color rgb="FF2D2D2D"/>
      <name val="Arial"/>
    </font>
    <font>
      <b/>
      <sz val="9"/>
      <color rgb="FF2D2D2D"/>
      <name val="Arial"/>
    </font>
    <font>
      <b/>
      <sz val="13"/>
      <color rgb="FFFFFFFF"/>
      <name val="Arial"/>
    </font>
    <font>
      <sz val="9"/>
      <color rgb="FFFFFFFF"/>
      <name val="Arial"/>
    </font>
    <font>
      <b/>
      <sz val="14"/>
      <color rgb="FFFFFFFF"/>
      <name val="Arial"/>
    </font>
    <font>
      <b/>
      <sz val="10"/>
      <color rgb="FF2D2D2D"/>
      <name val="Arial"/>
    </font>
    <font>
      <sz val="9"/>
      <color rgb="FF2D2D2D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000F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6764F6"/>
      </patternFill>
    </fill>
    <fill>
      <patternFill patternType="solid">
        <fgColor rgb="FF404040"/>
      </patternFill>
    </fill>
    <fill>
      <patternFill patternType="solid">
        <fgColor rgb="FFFF3333"/>
      </patternFill>
    </fill>
    <fill>
      <patternFill patternType="solid">
        <fgColor rgb="FF1A3A1A"/>
      </patternFill>
    </fill>
    <fill>
      <patternFill patternType="solid">
        <fgColor rgb="FF3F1F00"/>
      </patternFill>
    </fill>
    <fill>
      <patternFill patternType="solid">
        <fgColor rgb="FFFFFFFF"/>
      </patternFill>
    </fill>
    <fill>
      <patternFill patternType="solid">
        <fgColor rgb="FFD9F0D9"/>
      </patternFill>
    </fill>
    <fill>
      <patternFill patternType="solid">
        <fgColor rgb="FFFFF0E0"/>
      </patternFill>
    </fill>
    <fill>
      <patternFill patternType="solid">
        <fgColor rgb="FFF5F5F5"/>
      </patternFill>
    </fill>
    <fill>
      <patternFill patternType="solid">
        <fgColor rgb="FFFF6B35"/>
      </patternFill>
    </fill>
    <fill>
      <patternFill patternType="solid">
        <fgColor rgb="FFFFA500"/>
      </patternFill>
    </fill>
    <fill>
      <patternFill patternType="solid">
        <fgColor rgb="FFFFDCCD"/>
      </patternFill>
    </fill>
    <fill>
      <patternFill patternType="solid">
        <fgColor rgb="FFE8F5E9"/>
      </patternFill>
    </fill>
    <fill>
      <patternFill patternType="solid">
        <fgColor rgb="FF2D2D2D"/>
      </patternFill>
    </fill>
    <fill>
      <patternFill patternType="solid">
        <fgColor rgb="FF1A5C1A"/>
      </patternFill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004D00"/>
      </patternFill>
    </fill>
    <fill>
      <patternFill patternType="solid">
        <fgColor rgb="FFFFF8F0"/>
      </patternFill>
    </fill>
    <fill>
      <patternFill patternType="solid">
        <fgColor rgb="FF833C00"/>
      </patternFill>
    </fill>
    <fill>
      <patternFill patternType="solid">
        <fgColor rgb="FF6D3500"/>
      </patternFill>
    </fill>
    <fill>
      <patternFill patternType="solid">
        <fgColor rgb="FF5C2D00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2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17" borderId="0" xfId="0" applyFont="1" applyFill="1" applyAlignment="1">
      <alignment horizontal="left" vertical="center" wrapText="1"/>
    </xf>
    <xf numFmtId="0" fontId="7" fillId="13" borderId="0" xfId="0" applyFont="1" applyFill="1" applyAlignment="1">
      <alignment horizontal="left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5" borderId="1" xfId="0" applyFont="1" applyFill="1" applyBorder="1" applyAlignment="1">
      <alignment horizontal="left" vertical="center" wrapText="1"/>
    </xf>
    <xf numFmtId="0" fontId="1" fillId="27" borderId="1" xfId="0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left" vertical="center" wrapText="1"/>
    </xf>
    <xf numFmtId="0" fontId="1" fillId="19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8" sqref="C8:D8"/>
    </sheetView>
  </sheetViews>
  <sheetFormatPr defaultRowHeight="14.5" x14ac:dyDescent="0.35"/>
  <cols>
    <col min="1" max="1" width="12" customWidth="1"/>
    <col min="2" max="2" width="28" customWidth="1"/>
    <col min="3" max="3" width="50" customWidth="1"/>
    <col min="4" max="4" width="25" customWidth="1"/>
  </cols>
  <sheetData>
    <row r="1" spans="1:4" ht="32" customHeight="1" x14ac:dyDescent="0.35">
      <c r="A1" s="39" t="s">
        <v>0</v>
      </c>
      <c r="B1" s="33"/>
      <c r="C1" s="33"/>
      <c r="D1" s="33"/>
    </row>
    <row r="3" spans="1:4" ht="50" customHeight="1" x14ac:dyDescent="0.35">
      <c r="A3" s="1" t="s">
        <v>1</v>
      </c>
      <c r="B3" s="2" t="s">
        <v>2</v>
      </c>
      <c r="C3" s="40" t="s">
        <v>3</v>
      </c>
      <c r="D3" s="33"/>
    </row>
    <row r="4" spans="1:4" ht="50" customHeight="1" x14ac:dyDescent="0.35">
      <c r="A4" s="1" t="s">
        <v>4</v>
      </c>
      <c r="B4" s="2" t="s">
        <v>5</v>
      </c>
      <c r="C4" s="40" t="s">
        <v>6</v>
      </c>
      <c r="D4" s="33"/>
    </row>
    <row r="5" spans="1:4" ht="50" customHeight="1" x14ac:dyDescent="0.35">
      <c r="A5" s="1" t="s">
        <v>7</v>
      </c>
      <c r="B5" s="2" t="s">
        <v>8</v>
      </c>
      <c r="C5" s="40" t="s">
        <v>9</v>
      </c>
      <c r="D5" s="33"/>
    </row>
    <row r="6" spans="1:4" ht="50" customHeight="1" x14ac:dyDescent="0.35">
      <c r="A6" s="1" t="s">
        <v>10</v>
      </c>
      <c r="B6" s="2" t="s">
        <v>11</v>
      </c>
      <c r="C6" s="40" t="s">
        <v>12</v>
      </c>
      <c r="D6" s="33"/>
    </row>
    <row r="7" spans="1:4" ht="50" customHeight="1" x14ac:dyDescent="0.35">
      <c r="A7" s="1" t="s">
        <v>13</v>
      </c>
      <c r="B7" s="2" t="s">
        <v>14</v>
      </c>
      <c r="C7" s="40" t="s">
        <v>15</v>
      </c>
      <c r="D7" s="33"/>
    </row>
    <row r="8" spans="1:4" ht="50" customHeight="1" x14ac:dyDescent="0.35">
      <c r="A8" s="1" t="s">
        <v>16</v>
      </c>
      <c r="B8" s="2" t="s">
        <v>17</v>
      </c>
      <c r="C8" s="40" t="s">
        <v>268</v>
      </c>
      <c r="D8" s="33"/>
    </row>
    <row r="9" spans="1:4" ht="50" customHeight="1" x14ac:dyDescent="0.35">
      <c r="A9" s="1" t="s">
        <v>18</v>
      </c>
      <c r="B9" s="2" t="s">
        <v>19</v>
      </c>
      <c r="C9" s="40" t="s">
        <v>20</v>
      </c>
      <c r="D9" s="33"/>
    </row>
  </sheetData>
  <mergeCells count="8">
    <mergeCell ref="A1:D1"/>
    <mergeCell ref="C6:D6"/>
    <mergeCell ref="C7:D7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"/>
  <sheetViews>
    <sheetView workbookViewId="0">
      <pane xSplit="4" ySplit="2" topLeftCell="E3" activePane="bottomRight" state="frozen"/>
      <selection pane="topRight"/>
      <selection pane="bottomLeft"/>
      <selection pane="bottomRight" activeCell="W10" sqref="W10"/>
    </sheetView>
  </sheetViews>
  <sheetFormatPr defaultRowHeight="14.5" outlineLevelCol="1" x14ac:dyDescent="0.35"/>
  <cols>
    <col min="1" max="1" width="5" customWidth="1"/>
    <col min="2" max="2" width="22" customWidth="1"/>
    <col min="3" max="3" width="16" customWidth="1"/>
    <col min="4" max="4" width="13" customWidth="1"/>
    <col min="5" max="5" width="22" customWidth="1"/>
    <col min="6" max="6" width="14" customWidth="1"/>
    <col min="7" max="7" width="28" customWidth="1"/>
    <col min="8" max="8" width="35" customWidth="1"/>
    <col min="9" max="13" width="13" customWidth="1" outlineLevel="1"/>
    <col min="14" max="14" width="14" customWidth="1"/>
    <col min="15" max="18" width="13" customWidth="1"/>
    <col min="19" max="19" width="14" customWidth="1"/>
    <col min="20" max="21" width="13" customWidth="1"/>
    <col min="22" max="22" width="15" customWidth="1"/>
    <col min="23" max="23" width="25" customWidth="1"/>
    <col min="24" max="24" width="18" customWidth="1"/>
    <col min="25" max="26" width="12" customWidth="1"/>
  </cols>
  <sheetData>
    <row r="1" spans="1:26" ht="22" customHeight="1" x14ac:dyDescent="0.35">
      <c r="A1" s="32" t="s">
        <v>21</v>
      </c>
      <c r="B1" s="33"/>
      <c r="C1" s="33"/>
      <c r="D1" s="33"/>
      <c r="E1" s="38" t="s">
        <v>22</v>
      </c>
      <c r="F1" s="33"/>
      <c r="G1" s="33"/>
      <c r="H1" s="33"/>
      <c r="I1" s="37" t="s">
        <v>23</v>
      </c>
      <c r="J1" s="33"/>
      <c r="K1" s="33"/>
      <c r="L1" s="33"/>
      <c r="M1" s="33"/>
      <c r="N1" s="33"/>
      <c r="O1" s="36" t="s">
        <v>24</v>
      </c>
      <c r="P1" s="33"/>
      <c r="Q1" s="33"/>
      <c r="R1" s="33"/>
      <c r="S1" s="33"/>
      <c r="T1" s="35" t="s">
        <v>25</v>
      </c>
      <c r="U1" s="33"/>
      <c r="V1" s="34" t="s">
        <v>26</v>
      </c>
      <c r="W1" s="33"/>
      <c r="X1" s="33"/>
      <c r="Y1" s="33"/>
      <c r="Z1" s="33"/>
    </row>
    <row r="2" spans="1:26" ht="55" customHeight="1" x14ac:dyDescent="0.35">
      <c r="A2" s="4" t="s">
        <v>265</v>
      </c>
      <c r="B2" s="4" t="s">
        <v>27</v>
      </c>
      <c r="C2" s="4" t="s">
        <v>28</v>
      </c>
      <c r="D2" s="5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8" t="s">
        <v>39</v>
      </c>
      <c r="O2" s="9" t="s">
        <v>40</v>
      </c>
      <c r="P2" s="9" t="s">
        <v>41</v>
      </c>
      <c r="Q2" s="9" t="s">
        <v>42</v>
      </c>
      <c r="R2" s="9" t="s">
        <v>43</v>
      </c>
      <c r="S2" s="10" t="s">
        <v>44</v>
      </c>
      <c r="T2" s="11" t="s">
        <v>45</v>
      </c>
      <c r="U2" s="11" t="s">
        <v>46</v>
      </c>
      <c r="V2" s="12" t="s">
        <v>47</v>
      </c>
      <c r="W2" s="12" t="s">
        <v>48</v>
      </c>
      <c r="X2" s="12" t="s">
        <v>49</v>
      </c>
      <c r="Y2" s="12" t="s">
        <v>50</v>
      </c>
      <c r="Z2" s="12" t="s">
        <v>51</v>
      </c>
    </row>
    <row r="3" spans="1:26" ht="23" x14ac:dyDescent="0.35">
      <c r="A3" s="13">
        <v>1</v>
      </c>
      <c r="B3" s="14" t="s">
        <v>52</v>
      </c>
      <c r="C3" s="13" t="s">
        <v>53</v>
      </c>
      <c r="D3" s="13">
        <v>5</v>
      </c>
      <c r="E3" s="13" t="s">
        <v>54</v>
      </c>
      <c r="F3" s="13" t="s">
        <v>55</v>
      </c>
      <c r="G3" s="14" t="s">
        <v>56</v>
      </c>
      <c r="H3" s="14" t="s">
        <v>57</v>
      </c>
      <c r="I3" s="13">
        <v>4</v>
      </c>
      <c r="J3" s="13">
        <v>4</v>
      </c>
      <c r="K3" s="13">
        <v>3</v>
      </c>
      <c r="L3" s="13">
        <v>4</v>
      </c>
      <c r="M3" s="13">
        <v>5</v>
      </c>
      <c r="N3" s="15">
        <f t="shared" ref="N3:N10" si="0">ROUND(AVERAGE(I3:M3),0)</f>
        <v>4</v>
      </c>
      <c r="O3" s="13">
        <v>5</v>
      </c>
      <c r="P3" s="13">
        <v>5</v>
      </c>
      <c r="Q3" s="13">
        <v>4</v>
      </c>
      <c r="R3" s="13">
        <v>4</v>
      </c>
      <c r="S3" s="16">
        <f t="shared" ref="S3:S10" si="1">MAX(O3:R3)</f>
        <v>5</v>
      </c>
      <c r="T3" s="1">
        <f t="shared" ref="T3:T10" si="2">N3*S3</f>
        <v>20</v>
      </c>
      <c r="U3" s="4" t="str">
        <f t="shared" ref="U3:U10" si="3">IF(T3&gt;=20,"Critical",IF(T3&gt;=12,"High",IF(T3&gt;=6,"Medium","Low")))</f>
        <v>Critical</v>
      </c>
      <c r="V3" s="31" t="s">
        <v>264</v>
      </c>
      <c r="W3" s="14" t="s">
        <v>58</v>
      </c>
      <c r="X3" s="13" t="s">
        <v>59</v>
      </c>
      <c r="Y3" s="13" t="s">
        <v>60</v>
      </c>
      <c r="Z3" s="13" t="s">
        <v>61</v>
      </c>
    </row>
    <row r="4" spans="1:26" ht="34.5" x14ac:dyDescent="0.35">
      <c r="A4" s="17">
        <v>2</v>
      </c>
      <c r="B4" s="3" t="s">
        <v>62</v>
      </c>
      <c r="C4" s="17" t="s">
        <v>63</v>
      </c>
      <c r="D4" s="17">
        <v>3</v>
      </c>
      <c r="E4" s="17" t="s">
        <v>64</v>
      </c>
      <c r="F4" s="17" t="s">
        <v>55</v>
      </c>
      <c r="G4" s="3" t="s">
        <v>65</v>
      </c>
      <c r="H4" s="3" t="s">
        <v>66</v>
      </c>
      <c r="I4" s="17">
        <v>5</v>
      </c>
      <c r="J4" s="17">
        <v>4</v>
      </c>
      <c r="K4" s="17">
        <v>4</v>
      </c>
      <c r="L4" s="17">
        <v>5</v>
      </c>
      <c r="M4" s="17">
        <v>4</v>
      </c>
      <c r="N4" s="15">
        <f t="shared" si="0"/>
        <v>4</v>
      </c>
      <c r="O4" s="17">
        <v>3</v>
      </c>
      <c r="P4" s="17">
        <v>2</v>
      </c>
      <c r="Q4" s="17">
        <v>4</v>
      </c>
      <c r="R4" s="17">
        <v>3</v>
      </c>
      <c r="S4" s="16">
        <f t="shared" si="1"/>
        <v>4</v>
      </c>
      <c r="T4" s="18">
        <f t="shared" si="2"/>
        <v>16</v>
      </c>
      <c r="U4" s="19" t="str">
        <f t="shared" si="3"/>
        <v>High</v>
      </c>
      <c r="V4" s="31" t="s">
        <v>264</v>
      </c>
      <c r="W4" s="3" t="s">
        <v>67</v>
      </c>
      <c r="X4" s="17" t="s">
        <v>68</v>
      </c>
      <c r="Y4" s="17" t="s">
        <v>69</v>
      </c>
      <c r="Z4" s="17" t="s">
        <v>70</v>
      </c>
    </row>
    <row r="5" spans="1:26" ht="23" x14ac:dyDescent="0.35">
      <c r="A5" s="13">
        <v>3</v>
      </c>
      <c r="B5" s="14" t="s">
        <v>71</v>
      </c>
      <c r="C5" s="13" t="s">
        <v>72</v>
      </c>
      <c r="D5" s="13">
        <v>5</v>
      </c>
      <c r="E5" s="13" t="s">
        <v>73</v>
      </c>
      <c r="F5" s="13" t="s">
        <v>55</v>
      </c>
      <c r="G5" s="14" t="s">
        <v>74</v>
      </c>
      <c r="H5" s="14" t="s">
        <v>75</v>
      </c>
      <c r="I5" s="13">
        <v>3</v>
      </c>
      <c r="J5" s="13">
        <v>4</v>
      </c>
      <c r="K5" s="13">
        <v>3</v>
      </c>
      <c r="L5" s="13">
        <v>5</v>
      </c>
      <c r="M5" s="13">
        <v>4</v>
      </c>
      <c r="N5" s="15">
        <f t="shared" si="0"/>
        <v>4</v>
      </c>
      <c r="O5" s="13">
        <v>5</v>
      </c>
      <c r="P5" s="13">
        <v>4</v>
      </c>
      <c r="Q5" s="13">
        <v>5</v>
      </c>
      <c r="R5" s="13">
        <v>4</v>
      </c>
      <c r="S5" s="16">
        <f t="shared" si="1"/>
        <v>5</v>
      </c>
      <c r="T5" s="1">
        <f t="shared" si="2"/>
        <v>20</v>
      </c>
      <c r="U5" s="4" t="str">
        <f t="shared" si="3"/>
        <v>Critical</v>
      </c>
      <c r="V5" s="31" t="s">
        <v>264</v>
      </c>
      <c r="W5" s="14" t="s">
        <v>76</v>
      </c>
      <c r="X5" s="13" t="s">
        <v>77</v>
      </c>
      <c r="Y5" s="13" t="s">
        <v>78</v>
      </c>
      <c r="Z5" s="13" t="s">
        <v>70</v>
      </c>
    </row>
    <row r="6" spans="1:26" ht="34.5" x14ac:dyDescent="0.35">
      <c r="A6" s="17">
        <v>4</v>
      </c>
      <c r="B6" s="3" t="s">
        <v>79</v>
      </c>
      <c r="C6" s="17" t="s">
        <v>80</v>
      </c>
      <c r="D6" s="17">
        <v>4</v>
      </c>
      <c r="E6" s="17" t="s">
        <v>81</v>
      </c>
      <c r="F6" s="17" t="s">
        <v>55</v>
      </c>
      <c r="G6" s="3" t="s">
        <v>82</v>
      </c>
      <c r="H6" s="3" t="s">
        <v>83</v>
      </c>
      <c r="I6" s="17">
        <v>2</v>
      </c>
      <c r="J6" s="17">
        <v>3</v>
      </c>
      <c r="K6" s="17">
        <v>2</v>
      </c>
      <c r="L6" s="17">
        <v>4</v>
      </c>
      <c r="M6" s="17">
        <v>3</v>
      </c>
      <c r="N6" s="15">
        <f t="shared" si="0"/>
        <v>3</v>
      </c>
      <c r="O6" s="17">
        <v>4</v>
      </c>
      <c r="P6" s="17">
        <v>3</v>
      </c>
      <c r="Q6" s="17">
        <v>5</v>
      </c>
      <c r="R6" s="17">
        <v>3</v>
      </c>
      <c r="S6" s="16">
        <f t="shared" si="1"/>
        <v>5</v>
      </c>
      <c r="T6" s="18">
        <f t="shared" si="2"/>
        <v>15</v>
      </c>
      <c r="U6" s="19" t="str">
        <f t="shared" si="3"/>
        <v>High</v>
      </c>
      <c r="V6" s="31" t="s">
        <v>264</v>
      </c>
      <c r="W6" s="3" t="s">
        <v>84</v>
      </c>
      <c r="X6" s="17" t="s">
        <v>85</v>
      </c>
      <c r="Y6" s="17" t="s">
        <v>86</v>
      </c>
      <c r="Z6" s="17" t="s">
        <v>87</v>
      </c>
    </row>
    <row r="7" spans="1:26" ht="34.5" x14ac:dyDescent="0.35">
      <c r="A7" s="13">
        <v>5</v>
      </c>
      <c r="B7" s="14" t="s">
        <v>88</v>
      </c>
      <c r="C7" s="13" t="s">
        <v>89</v>
      </c>
      <c r="D7" s="13">
        <v>4</v>
      </c>
      <c r="E7" s="13" t="s">
        <v>90</v>
      </c>
      <c r="F7" s="13" t="s">
        <v>55</v>
      </c>
      <c r="G7" s="14" t="s">
        <v>91</v>
      </c>
      <c r="H7" s="14" t="s">
        <v>92</v>
      </c>
      <c r="I7" s="13">
        <v>3</v>
      </c>
      <c r="J7" s="13">
        <v>3</v>
      </c>
      <c r="K7" s="13">
        <v>4</v>
      </c>
      <c r="L7" s="13">
        <v>5</v>
      </c>
      <c r="M7" s="13">
        <v>4</v>
      </c>
      <c r="N7" s="15">
        <f t="shared" si="0"/>
        <v>4</v>
      </c>
      <c r="O7" s="13">
        <v>4</v>
      </c>
      <c r="P7" s="13">
        <v>5</v>
      </c>
      <c r="Q7" s="13">
        <v>3</v>
      </c>
      <c r="R7" s="13">
        <v>5</v>
      </c>
      <c r="S7" s="16">
        <f t="shared" si="1"/>
        <v>5</v>
      </c>
      <c r="T7" s="1">
        <f t="shared" si="2"/>
        <v>20</v>
      </c>
      <c r="U7" s="4" t="str">
        <f t="shared" si="3"/>
        <v>Critical</v>
      </c>
      <c r="V7" s="31" t="s">
        <v>264</v>
      </c>
      <c r="W7" s="14" t="s">
        <v>93</v>
      </c>
      <c r="X7" s="13" t="s">
        <v>94</v>
      </c>
      <c r="Y7" s="13" t="s">
        <v>95</v>
      </c>
      <c r="Z7" s="13" t="s">
        <v>61</v>
      </c>
    </row>
    <row r="8" spans="1:26" ht="23" x14ac:dyDescent="0.35">
      <c r="A8" s="17">
        <v>6</v>
      </c>
      <c r="B8" s="3" t="s">
        <v>96</v>
      </c>
      <c r="C8" s="17" t="s">
        <v>97</v>
      </c>
      <c r="D8" s="17">
        <v>3</v>
      </c>
      <c r="E8" s="17" t="s">
        <v>98</v>
      </c>
      <c r="F8" s="17" t="s">
        <v>55</v>
      </c>
      <c r="G8" s="3" t="s">
        <v>99</v>
      </c>
      <c r="H8" s="3" t="s">
        <v>100</v>
      </c>
      <c r="I8" s="17">
        <v>4</v>
      </c>
      <c r="J8" s="17">
        <v>5</v>
      </c>
      <c r="K8" s="17">
        <v>3</v>
      </c>
      <c r="L8" s="17">
        <v>4</v>
      </c>
      <c r="M8" s="17">
        <v>3</v>
      </c>
      <c r="N8" s="15">
        <f t="shared" si="0"/>
        <v>4</v>
      </c>
      <c r="O8" s="17">
        <v>5</v>
      </c>
      <c r="P8" s="17">
        <v>3</v>
      </c>
      <c r="Q8" s="17">
        <v>3</v>
      </c>
      <c r="R8" s="17">
        <v>5</v>
      </c>
      <c r="S8" s="16">
        <f t="shared" si="1"/>
        <v>5</v>
      </c>
      <c r="T8" s="1">
        <f t="shared" si="2"/>
        <v>20</v>
      </c>
      <c r="U8" s="4" t="str">
        <f t="shared" si="3"/>
        <v>Critical</v>
      </c>
      <c r="V8" s="31" t="s">
        <v>264</v>
      </c>
      <c r="W8" s="3" t="s">
        <v>101</v>
      </c>
      <c r="X8" s="17" t="s">
        <v>102</v>
      </c>
      <c r="Y8" s="17" t="s">
        <v>103</v>
      </c>
      <c r="Z8" s="17" t="s">
        <v>61</v>
      </c>
    </row>
    <row r="9" spans="1:26" ht="23" x14ac:dyDescent="0.35">
      <c r="A9" s="13">
        <v>7</v>
      </c>
      <c r="B9" s="14" t="s">
        <v>104</v>
      </c>
      <c r="C9" s="13" t="s">
        <v>53</v>
      </c>
      <c r="D9" s="13">
        <v>3</v>
      </c>
      <c r="E9" s="13" t="s">
        <v>105</v>
      </c>
      <c r="F9" s="13" t="s">
        <v>55</v>
      </c>
      <c r="G9" s="14" t="s">
        <v>106</v>
      </c>
      <c r="H9" s="14" t="s">
        <v>107</v>
      </c>
      <c r="I9" s="13">
        <v>2</v>
      </c>
      <c r="J9" s="13">
        <v>3</v>
      </c>
      <c r="K9" s="13">
        <v>2</v>
      </c>
      <c r="L9" s="13">
        <v>4</v>
      </c>
      <c r="M9" s="13">
        <v>3</v>
      </c>
      <c r="N9" s="15">
        <f t="shared" si="0"/>
        <v>3</v>
      </c>
      <c r="O9" s="13">
        <v>3</v>
      </c>
      <c r="P9" s="13">
        <v>4</v>
      </c>
      <c r="Q9" s="13">
        <v>3</v>
      </c>
      <c r="R9" s="13">
        <v>3</v>
      </c>
      <c r="S9" s="16">
        <f t="shared" si="1"/>
        <v>4</v>
      </c>
      <c r="T9" s="18">
        <f t="shared" si="2"/>
        <v>12</v>
      </c>
      <c r="U9" s="19" t="str">
        <f t="shared" si="3"/>
        <v>High</v>
      </c>
      <c r="V9" s="31" t="s">
        <v>264</v>
      </c>
      <c r="W9" s="14" t="s">
        <v>108</v>
      </c>
      <c r="X9" s="13" t="s">
        <v>102</v>
      </c>
      <c r="Y9" s="13" t="s">
        <v>109</v>
      </c>
      <c r="Z9" s="13" t="s">
        <v>61</v>
      </c>
    </row>
    <row r="10" spans="1:26" ht="23" x14ac:dyDescent="0.35">
      <c r="A10" s="17">
        <v>8</v>
      </c>
      <c r="B10" s="3" t="s">
        <v>110</v>
      </c>
      <c r="C10" s="17" t="s">
        <v>97</v>
      </c>
      <c r="D10" s="17">
        <v>4</v>
      </c>
      <c r="E10" s="17" t="s">
        <v>111</v>
      </c>
      <c r="F10" s="17" t="s">
        <v>112</v>
      </c>
      <c r="G10" s="3" t="s">
        <v>113</v>
      </c>
      <c r="H10" s="3" t="s">
        <v>114</v>
      </c>
      <c r="I10" s="17">
        <v>3</v>
      </c>
      <c r="J10" s="17">
        <v>1</v>
      </c>
      <c r="K10" s="17">
        <v>1</v>
      </c>
      <c r="L10" s="17">
        <v>4</v>
      </c>
      <c r="M10" s="17">
        <v>3</v>
      </c>
      <c r="N10" s="15">
        <f t="shared" si="0"/>
        <v>2</v>
      </c>
      <c r="O10" s="17">
        <v>2</v>
      </c>
      <c r="P10" s="17">
        <v>1</v>
      </c>
      <c r="Q10" s="17">
        <v>5</v>
      </c>
      <c r="R10" s="17">
        <v>2</v>
      </c>
      <c r="S10" s="16">
        <f t="shared" si="1"/>
        <v>5</v>
      </c>
      <c r="T10" s="20">
        <f t="shared" si="2"/>
        <v>10</v>
      </c>
      <c r="U10" s="21" t="str">
        <f t="shared" si="3"/>
        <v>Medium</v>
      </c>
      <c r="V10" s="31" t="s">
        <v>264</v>
      </c>
      <c r="W10" s="3" t="s">
        <v>115</v>
      </c>
      <c r="X10" s="17" t="s">
        <v>85</v>
      </c>
      <c r="Y10" s="17" t="s">
        <v>116</v>
      </c>
      <c r="Z10" s="17" t="s">
        <v>87</v>
      </c>
    </row>
  </sheetData>
  <mergeCells count="6">
    <mergeCell ref="A1:D1"/>
    <mergeCell ref="V1:Z1"/>
    <mergeCell ref="T1:U1"/>
    <mergeCell ref="O1:S1"/>
    <mergeCell ref="I1:N1"/>
    <mergeCell ref="E1:H1"/>
  </mergeCells>
  <dataValidations count="6">
    <dataValidation type="list" allowBlank="1" sqref="C3:C200" xr:uid="{00000000-0002-0000-0100-000000000000}">
      <formula1>"Data,Endpoint,Infrastructure,Cloud,Identity,Application,Physical,People"</formula1>
    </dataValidation>
    <dataValidation type="list" allowBlank="1" sqref="F3:F200" xr:uid="{00000000-0002-0000-0100-000001000000}">
      <formula1>"Adversarial,Non-Adversarial"</formula1>
    </dataValidation>
    <dataValidation type="list" allowBlank="1" sqref="V11:V200" xr:uid="{00000000-0002-0000-0100-000002000000}">
      <formula1>"Modify,Avoid,Transfer,Retain"</formula1>
    </dataValidation>
    <dataValidation type="list" allowBlank="1" sqref="Z3:Z200" xr:uid="{00000000-0002-0000-0100-000003000000}">
      <formula1>"Open,In Progress,Planned,Closed"</formula1>
    </dataValidation>
    <dataValidation type="list" allowBlank="1" sqref="D3:D200 I3:M200 O3:R200" xr:uid="{00000000-0002-0000-0100-000004000000}">
      <formula1>"1,2,3,4,5"</formula1>
    </dataValidation>
    <dataValidation type="list" allowBlank="1" sqref="V3:V10" xr:uid="{5ED16C05-F6FD-4AFE-BF16-C4F19BD5C61E}">
      <formula1>"Mitigate,Avoid,Transfer,Accept"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activeCell="C10" sqref="C10:H10"/>
    </sheetView>
  </sheetViews>
  <sheetFormatPr defaultRowHeight="14.5" x14ac:dyDescent="0.35"/>
  <cols>
    <col min="1" max="1" width="14" customWidth="1"/>
    <col min="2" max="2" width="58" customWidth="1"/>
    <col min="3" max="8" width="20" customWidth="1"/>
  </cols>
  <sheetData>
    <row r="1" spans="1:8" ht="28" customHeight="1" x14ac:dyDescent="0.35">
      <c r="A1" s="51" t="s">
        <v>269</v>
      </c>
      <c r="B1" s="33"/>
      <c r="C1" s="33"/>
      <c r="D1" s="33"/>
      <c r="E1" s="33"/>
      <c r="F1" s="33"/>
      <c r="G1" s="33"/>
      <c r="H1" s="33"/>
    </row>
    <row r="2" spans="1:8" ht="30" customHeight="1" x14ac:dyDescent="0.35">
      <c r="A2" s="52" t="s">
        <v>117</v>
      </c>
      <c r="B2" s="33"/>
      <c r="C2" s="33"/>
      <c r="D2" s="33"/>
      <c r="E2" s="33"/>
      <c r="F2" s="33"/>
      <c r="G2" s="33"/>
      <c r="H2" s="33"/>
    </row>
    <row r="4" spans="1:8" ht="20" customHeight="1" x14ac:dyDescent="0.35">
      <c r="A4" s="41" t="s">
        <v>118</v>
      </c>
      <c r="B4" s="33"/>
      <c r="C4" s="33"/>
      <c r="D4" s="33"/>
      <c r="E4" s="33"/>
      <c r="F4" s="33"/>
      <c r="G4" s="33"/>
      <c r="H4" s="33"/>
    </row>
    <row r="5" spans="1:8" ht="18" customHeight="1" x14ac:dyDescent="0.35">
      <c r="A5" s="49" t="s">
        <v>119</v>
      </c>
      <c r="B5" s="33"/>
      <c r="C5" s="33"/>
      <c r="D5" s="33"/>
      <c r="E5" s="33"/>
      <c r="F5" s="33"/>
      <c r="G5" s="33"/>
      <c r="H5" s="33"/>
    </row>
    <row r="6" spans="1:8" x14ac:dyDescent="0.35">
      <c r="A6" s="22" t="s">
        <v>120</v>
      </c>
      <c r="B6" s="22" t="s">
        <v>121</v>
      </c>
      <c r="C6" s="42" t="s">
        <v>122</v>
      </c>
      <c r="D6" s="43"/>
      <c r="E6" s="43"/>
      <c r="F6" s="43"/>
      <c r="G6" s="43"/>
      <c r="H6" s="44"/>
    </row>
    <row r="7" spans="1:8" ht="28" customHeight="1" x14ac:dyDescent="0.35">
      <c r="A7" s="23" t="s">
        <v>123</v>
      </c>
      <c r="B7" s="3" t="s">
        <v>124</v>
      </c>
      <c r="C7" s="40" t="s">
        <v>125</v>
      </c>
      <c r="D7" s="33"/>
      <c r="E7" s="33"/>
      <c r="F7" s="33"/>
      <c r="G7" s="33"/>
      <c r="H7" s="33"/>
    </row>
    <row r="8" spans="1:8" ht="28" customHeight="1" x14ac:dyDescent="0.35">
      <c r="A8" s="24" t="s">
        <v>126</v>
      </c>
      <c r="B8" s="14" t="s">
        <v>127</v>
      </c>
      <c r="C8" s="47" t="s">
        <v>128</v>
      </c>
      <c r="D8" s="33"/>
      <c r="E8" s="33"/>
      <c r="F8" s="33"/>
      <c r="G8" s="33"/>
      <c r="H8" s="33"/>
    </row>
    <row r="9" spans="1:8" ht="28" customHeight="1" x14ac:dyDescent="0.35">
      <c r="A9" s="23" t="s">
        <v>129</v>
      </c>
      <c r="B9" s="3" t="s">
        <v>130</v>
      </c>
      <c r="C9" s="40" t="s">
        <v>131</v>
      </c>
      <c r="D9" s="33"/>
      <c r="E9" s="33"/>
      <c r="F9" s="33"/>
      <c r="G9" s="33"/>
      <c r="H9" s="33"/>
    </row>
    <row r="10" spans="1:8" ht="28" customHeight="1" x14ac:dyDescent="0.35">
      <c r="A10" s="24" t="s">
        <v>132</v>
      </c>
      <c r="B10" s="14" t="s">
        <v>133</v>
      </c>
      <c r="C10" s="47" t="s">
        <v>134</v>
      </c>
      <c r="D10" s="33"/>
      <c r="E10" s="33"/>
      <c r="F10" s="33"/>
      <c r="G10" s="33"/>
      <c r="H10" s="33"/>
    </row>
    <row r="11" spans="1:8" ht="28" customHeight="1" x14ac:dyDescent="0.35">
      <c r="A11" s="23" t="s">
        <v>135</v>
      </c>
      <c r="B11" s="3" t="s">
        <v>136</v>
      </c>
      <c r="C11" s="40" t="s">
        <v>137</v>
      </c>
      <c r="D11" s="33"/>
      <c r="E11" s="33"/>
      <c r="F11" s="33"/>
      <c r="G11" s="33"/>
      <c r="H11" s="33"/>
    </row>
    <row r="13" spans="1:8" ht="20" customHeight="1" x14ac:dyDescent="0.35">
      <c r="A13" s="46" t="s">
        <v>138</v>
      </c>
      <c r="B13" s="33"/>
      <c r="C13" s="33"/>
      <c r="D13" s="33"/>
      <c r="E13" s="33"/>
      <c r="F13" s="33"/>
      <c r="G13" s="33"/>
      <c r="H13" s="33"/>
    </row>
    <row r="14" spans="1:8" ht="18" customHeight="1" x14ac:dyDescent="0.35">
      <c r="A14" s="49" t="s">
        <v>139</v>
      </c>
      <c r="B14" s="33"/>
      <c r="C14" s="33"/>
      <c r="D14" s="33"/>
      <c r="E14" s="33"/>
      <c r="F14" s="33"/>
      <c r="G14" s="33"/>
      <c r="H14" s="33"/>
    </row>
    <row r="15" spans="1:8" x14ac:dyDescent="0.35">
      <c r="A15" s="22" t="s">
        <v>120</v>
      </c>
      <c r="B15" s="22" t="s">
        <v>121</v>
      </c>
      <c r="C15" s="42" t="s">
        <v>122</v>
      </c>
      <c r="D15" s="43"/>
      <c r="E15" s="43"/>
      <c r="F15" s="43"/>
      <c r="G15" s="43"/>
      <c r="H15" s="44"/>
    </row>
    <row r="16" spans="1:8" ht="28" customHeight="1" x14ac:dyDescent="0.35">
      <c r="A16" s="23" t="s">
        <v>123</v>
      </c>
      <c r="B16" s="3" t="s">
        <v>140</v>
      </c>
      <c r="C16" s="40" t="s">
        <v>141</v>
      </c>
      <c r="D16" s="33"/>
      <c r="E16" s="33"/>
      <c r="F16" s="33"/>
      <c r="G16" s="33"/>
      <c r="H16" s="33"/>
    </row>
    <row r="17" spans="1:8" ht="28" customHeight="1" x14ac:dyDescent="0.35">
      <c r="A17" s="24" t="s">
        <v>126</v>
      </c>
      <c r="B17" s="14" t="s">
        <v>142</v>
      </c>
      <c r="C17" s="47" t="s">
        <v>143</v>
      </c>
      <c r="D17" s="33"/>
      <c r="E17" s="33"/>
      <c r="F17" s="33"/>
      <c r="G17" s="33"/>
      <c r="H17" s="33"/>
    </row>
    <row r="18" spans="1:8" ht="28" customHeight="1" x14ac:dyDescent="0.35">
      <c r="A18" s="23" t="s">
        <v>129</v>
      </c>
      <c r="B18" s="3" t="s">
        <v>144</v>
      </c>
      <c r="C18" s="40" t="s">
        <v>145</v>
      </c>
      <c r="D18" s="33"/>
      <c r="E18" s="33"/>
      <c r="F18" s="33"/>
      <c r="G18" s="33"/>
      <c r="H18" s="33"/>
    </row>
    <row r="19" spans="1:8" ht="28" customHeight="1" x14ac:dyDescent="0.35">
      <c r="A19" s="24" t="s">
        <v>132</v>
      </c>
      <c r="B19" s="14" t="s">
        <v>146</v>
      </c>
      <c r="C19" s="47" t="s">
        <v>147</v>
      </c>
      <c r="D19" s="33"/>
      <c r="E19" s="33"/>
      <c r="F19" s="33"/>
      <c r="G19" s="33"/>
      <c r="H19" s="33"/>
    </row>
    <row r="20" spans="1:8" ht="28" customHeight="1" x14ac:dyDescent="0.35">
      <c r="A20" s="23" t="s">
        <v>135</v>
      </c>
      <c r="B20" s="3" t="s">
        <v>148</v>
      </c>
      <c r="C20" s="40" t="s">
        <v>137</v>
      </c>
      <c r="D20" s="33"/>
      <c r="E20" s="33"/>
      <c r="F20" s="33"/>
      <c r="G20" s="33"/>
      <c r="H20" s="33"/>
    </row>
    <row r="22" spans="1:8" ht="20" customHeight="1" x14ac:dyDescent="0.35">
      <c r="A22" s="50" t="s">
        <v>149</v>
      </c>
      <c r="B22" s="33"/>
      <c r="C22" s="33"/>
      <c r="D22" s="33"/>
      <c r="E22" s="33"/>
      <c r="F22" s="33"/>
      <c r="G22" s="33"/>
      <c r="H22" s="33"/>
    </row>
    <row r="23" spans="1:8" ht="18" customHeight="1" x14ac:dyDescent="0.35">
      <c r="A23" s="49" t="s">
        <v>150</v>
      </c>
      <c r="B23" s="33"/>
      <c r="C23" s="33"/>
      <c r="D23" s="33"/>
      <c r="E23" s="33"/>
      <c r="F23" s="33"/>
      <c r="G23" s="33"/>
      <c r="H23" s="33"/>
    </row>
    <row r="24" spans="1:8" x14ac:dyDescent="0.35">
      <c r="A24" s="22" t="s">
        <v>120</v>
      </c>
      <c r="B24" s="22" t="s">
        <v>121</v>
      </c>
      <c r="C24" s="42" t="s">
        <v>122</v>
      </c>
      <c r="D24" s="43"/>
      <c r="E24" s="43"/>
      <c r="F24" s="43"/>
      <c r="G24" s="43"/>
      <c r="H24" s="44"/>
    </row>
    <row r="25" spans="1:8" ht="28" customHeight="1" x14ac:dyDescent="0.35">
      <c r="A25" s="23" t="s">
        <v>123</v>
      </c>
      <c r="B25" s="3" t="s">
        <v>151</v>
      </c>
      <c r="C25" s="40" t="s">
        <v>152</v>
      </c>
      <c r="D25" s="33"/>
      <c r="E25" s="33"/>
      <c r="F25" s="33"/>
      <c r="G25" s="33"/>
      <c r="H25" s="33"/>
    </row>
    <row r="26" spans="1:8" ht="28" customHeight="1" x14ac:dyDescent="0.35">
      <c r="A26" s="24" t="s">
        <v>126</v>
      </c>
      <c r="B26" s="14" t="s">
        <v>153</v>
      </c>
      <c r="C26" s="47" t="s">
        <v>154</v>
      </c>
      <c r="D26" s="33"/>
      <c r="E26" s="33"/>
      <c r="F26" s="33"/>
      <c r="G26" s="33"/>
      <c r="H26" s="33"/>
    </row>
    <row r="27" spans="1:8" ht="28" customHeight="1" x14ac:dyDescent="0.35">
      <c r="A27" s="23" t="s">
        <v>129</v>
      </c>
      <c r="B27" s="3" t="s">
        <v>155</v>
      </c>
      <c r="C27" s="40" t="s">
        <v>156</v>
      </c>
      <c r="D27" s="33"/>
      <c r="E27" s="33"/>
      <c r="F27" s="33"/>
      <c r="G27" s="33"/>
      <c r="H27" s="33"/>
    </row>
    <row r="28" spans="1:8" ht="28" customHeight="1" x14ac:dyDescent="0.35">
      <c r="A28" s="24" t="s">
        <v>132</v>
      </c>
      <c r="B28" s="14" t="s">
        <v>157</v>
      </c>
      <c r="C28" s="47" t="s">
        <v>158</v>
      </c>
      <c r="D28" s="33"/>
      <c r="E28" s="33"/>
      <c r="F28" s="33"/>
      <c r="G28" s="33"/>
      <c r="H28" s="33"/>
    </row>
    <row r="29" spans="1:8" ht="28" customHeight="1" x14ac:dyDescent="0.35">
      <c r="A29" s="23" t="s">
        <v>135</v>
      </c>
      <c r="B29" s="3" t="s">
        <v>159</v>
      </c>
      <c r="C29" s="40" t="s">
        <v>137</v>
      </c>
      <c r="D29" s="33"/>
      <c r="E29" s="33"/>
      <c r="F29" s="33"/>
      <c r="G29" s="33"/>
      <c r="H29" s="33"/>
    </row>
    <row r="31" spans="1:8" ht="20" customHeight="1" x14ac:dyDescent="0.35">
      <c r="A31" s="45" t="s">
        <v>160</v>
      </c>
      <c r="B31" s="33"/>
      <c r="C31" s="33"/>
      <c r="D31" s="33"/>
      <c r="E31" s="33"/>
      <c r="F31" s="33"/>
      <c r="G31" s="33"/>
      <c r="H31" s="33"/>
    </row>
    <row r="32" spans="1:8" ht="18" customHeight="1" x14ac:dyDescent="0.35">
      <c r="A32" s="49" t="s">
        <v>161</v>
      </c>
      <c r="B32" s="33"/>
      <c r="C32" s="33"/>
      <c r="D32" s="33"/>
      <c r="E32" s="33"/>
      <c r="F32" s="33"/>
      <c r="G32" s="33"/>
      <c r="H32" s="33"/>
    </row>
    <row r="33" spans="1:8" x14ac:dyDescent="0.35">
      <c r="A33" s="22" t="s">
        <v>120</v>
      </c>
      <c r="B33" s="22" t="s">
        <v>121</v>
      </c>
      <c r="C33" s="42" t="s">
        <v>122</v>
      </c>
      <c r="D33" s="43"/>
      <c r="E33" s="43"/>
      <c r="F33" s="43"/>
      <c r="G33" s="43"/>
      <c r="H33" s="44"/>
    </row>
    <row r="34" spans="1:8" ht="28" customHeight="1" x14ac:dyDescent="0.35">
      <c r="A34" s="23" t="s">
        <v>123</v>
      </c>
      <c r="B34" s="3" t="s">
        <v>162</v>
      </c>
      <c r="C34" s="40" t="s">
        <v>163</v>
      </c>
      <c r="D34" s="33"/>
      <c r="E34" s="33"/>
      <c r="F34" s="33"/>
      <c r="G34" s="33"/>
      <c r="H34" s="33"/>
    </row>
    <row r="35" spans="1:8" ht="28" customHeight="1" x14ac:dyDescent="0.35">
      <c r="A35" s="24" t="s">
        <v>126</v>
      </c>
      <c r="B35" s="14" t="s">
        <v>164</v>
      </c>
      <c r="C35" s="47" t="s">
        <v>165</v>
      </c>
      <c r="D35" s="33"/>
      <c r="E35" s="33"/>
      <c r="F35" s="33"/>
      <c r="G35" s="33"/>
      <c r="H35" s="33"/>
    </row>
    <row r="36" spans="1:8" ht="28" customHeight="1" x14ac:dyDescent="0.35">
      <c r="A36" s="23" t="s">
        <v>129</v>
      </c>
      <c r="B36" s="3" t="s">
        <v>166</v>
      </c>
      <c r="C36" s="40" t="s">
        <v>167</v>
      </c>
      <c r="D36" s="33"/>
      <c r="E36" s="33"/>
      <c r="F36" s="33"/>
      <c r="G36" s="33"/>
      <c r="H36" s="33"/>
    </row>
    <row r="37" spans="1:8" ht="28" customHeight="1" x14ac:dyDescent="0.35">
      <c r="A37" s="24" t="s">
        <v>132</v>
      </c>
      <c r="B37" s="14" t="s">
        <v>168</v>
      </c>
      <c r="C37" s="47" t="s">
        <v>169</v>
      </c>
      <c r="D37" s="33"/>
      <c r="E37" s="33"/>
      <c r="F37" s="33"/>
      <c r="G37" s="33"/>
      <c r="H37" s="33"/>
    </row>
    <row r="38" spans="1:8" ht="28" customHeight="1" x14ac:dyDescent="0.35">
      <c r="A38" s="23" t="s">
        <v>135</v>
      </c>
      <c r="B38" s="3" t="s">
        <v>170</v>
      </c>
      <c r="C38" s="40" t="s">
        <v>137</v>
      </c>
      <c r="D38" s="33"/>
      <c r="E38" s="33"/>
      <c r="F38" s="33"/>
      <c r="G38" s="33"/>
      <c r="H38" s="33"/>
    </row>
    <row r="40" spans="1:8" ht="20" customHeight="1" x14ac:dyDescent="0.35">
      <c r="A40" s="48" t="s">
        <v>171</v>
      </c>
      <c r="B40" s="33"/>
      <c r="C40" s="33"/>
      <c r="D40" s="33"/>
      <c r="E40" s="33"/>
      <c r="F40" s="33"/>
      <c r="G40" s="33"/>
      <c r="H40" s="33"/>
    </row>
    <row r="41" spans="1:8" ht="18" customHeight="1" x14ac:dyDescent="0.35">
      <c r="A41" s="49" t="s">
        <v>172</v>
      </c>
      <c r="B41" s="33"/>
      <c r="C41" s="33"/>
      <c r="D41" s="33"/>
      <c r="E41" s="33"/>
      <c r="F41" s="33"/>
      <c r="G41" s="33"/>
      <c r="H41" s="33"/>
    </row>
    <row r="42" spans="1:8" x14ac:dyDescent="0.35">
      <c r="A42" s="22" t="s">
        <v>120</v>
      </c>
      <c r="B42" s="22" t="s">
        <v>121</v>
      </c>
      <c r="C42" s="42" t="s">
        <v>122</v>
      </c>
      <c r="D42" s="43"/>
      <c r="E42" s="43"/>
      <c r="F42" s="43"/>
      <c r="G42" s="43"/>
      <c r="H42" s="44"/>
    </row>
    <row r="43" spans="1:8" ht="28" customHeight="1" x14ac:dyDescent="0.35">
      <c r="A43" s="23" t="s">
        <v>123</v>
      </c>
      <c r="B43" s="3" t="s">
        <v>173</v>
      </c>
      <c r="C43" s="40" t="s">
        <v>174</v>
      </c>
      <c r="D43" s="33"/>
      <c r="E43" s="33"/>
      <c r="F43" s="33"/>
      <c r="G43" s="33"/>
      <c r="H43" s="33"/>
    </row>
    <row r="44" spans="1:8" ht="28" customHeight="1" x14ac:dyDescent="0.35">
      <c r="A44" s="24" t="s">
        <v>126</v>
      </c>
      <c r="B44" s="14" t="s">
        <v>175</v>
      </c>
      <c r="C44" s="47" t="s">
        <v>176</v>
      </c>
      <c r="D44" s="33"/>
      <c r="E44" s="33"/>
      <c r="F44" s="33"/>
      <c r="G44" s="33"/>
      <c r="H44" s="33"/>
    </row>
    <row r="45" spans="1:8" ht="28" customHeight="1" x14ac:dyDescent="0.35">
      <c r="A45" s="23" t="s">
        <v>129</v>
      </c>
      <c r="B45" s="3" t="s">
        <v>177</v>
      </c>
      <c r="C45" s="40" t="s">
        <v>178</v>
      </c>
      <c r="D45" s="33"/>
      <c r="E45" s="33"/>
      <c r="F45" s="33"/>
      <c r="G45" s="33"/>
      <c r="H45" s="33"/>
    </row>
    <row r="46" spans="1:8" ht="28" customHeight="1" x14ac:dyDescent="0.35">
      <c r="A46" s="24" t="s">
        <v>132</v>
      </c>
      <c r="B46" s="14" t="s">
        <v>179</v>
      </c>
      <c r="C46" s="47" t="s">
        <v>180</v>
      </c>
      <c r="D46" s="33"/>
      <c r="E46" s="33"/>
      <c r="F46" s="33"/>
      <c r="G46" s="33"/>
      <c r="H46" s="33"/>
    </row>
    <row r="47" spans="1:8" ht="28" customHeight="1" x14ac:dyDescent="0.35">
      <c r="A47" s="23" t="s">
        <v>135</v>
      </c>
      <c r="B47" s="3" t="s">
        <v>181</v>
      </c>
      <c r="C47" s="40" t="s">
        <v>137</v>
      </c>
      <c r="D47" s="33"/>
      <c r="E47" s="33"/>
      <c r="F47" s="33"/>
      <c r="G47" s="33"/>
      <c r="H47" s="33"/>
    </row>
  </sheetData>
  <mergeCells count="42">
    <mergeCell ref="C47:H47"/>
    <mergeCell ref="C44:H44"/>
    <mergeCell ref="A14:H14"/>
    <mergeCell ref="C18:H18"/>
    <mergeCell ref="C45:H45"/>
    <mergeCell ref="C46:H46"/>
    <mergeCell ref="C36:H36"/>
    <mergeCell ref="C27:H27"/>
    <mergeCell ref="A41:H41"/>
    <mergeCell ref="C8:H8"/>
    <mergeCell ref="C17:H17"/>
    <mergeCell ref="C38:H38"/>
    <mergeCell ref="C19:H19"/>
    <mergeCell ref="C28:H28"/>
    <mergeCell ref="C37:H37"/>
    <mergeCell ref="C25:H25"/>
    <mergeCell ref="C26:H26"/>
    <mergeCell ref="C10:H10"/>
    <mergeCell ref="C16:H16"/>
    <mergeCell ref="C33:H33"/>
    <mergeCell ref="C9:H9"/>
    <mergeCell ref="A1:H1"/>
    <mergeCell ref="C43:H43"/>
    <mergeCell ref="C11:H11"/>
    <mergeCell ref="C7:H7"/>
    <mergeCell ref="A2:H2"/>
    <mergeCell ref="A4:H4"/>
    <mergeCell ref="C6:H6"/>
    <mergeCell ref="C24:H24"/>
    <mergeCell ref="C42:H42"/>
    <mergeCell ref="A31:H31"/>
    <mergeCell ref="A13:H13"/>
    <mergeCell ref="C35:H35"/>
    <mergeCell ref="C20:H20"/>
    <mergeCell ref="C29:H29"/>
    <mergeCell ref="A40:H40"/>
    <mergeCell ref="A5:H5"/>
    <mergeCell ref="A23:H23"/>
    <mergeCell ref="A32:H32"/>
    <mergeCell ref="C34:H34"/>
    <mergeCell ref="A22:H22"/>
    <mergeCell ref="C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opLeftCell="A25" workbookViewId="0">
      <selection activeCell="B19" sqref="B19"/>
    </sheetView>
  </sheetViews>
  <sheetFormatPr defaultRowHeight="14.5" x14ac:dyDescent="0.35"/>
  <cols>
    <col min="1" max="1" width="16" customWidth="1"/>
    <col min="2" max="2" width="58" customWidth="1"/>
    <col min="3" max="7" width="18" customWidth="1"/>
  </cols>
  <sheetData>
    <row r="1" spans="1:7" ht="28" customHeight="1" x14ac:dyDescent="0.35">
      <c r="A1" s="55" t="s">
        <v>182</v>
      </c>
      <c r="B1" s="33"/>
      <c r="C1" s="33"/>
      <c r="D1" s="33"/>
      <c r="E1" s="33"/>
      <c r="F1" s="33"/>
      <c r="G1" s="33"/>
    </row>
    <row r="2" spans="1:7" ht="35" customHeight="1" x14ac:dyDescent="0.35">
      <c r="A2" s="53" t="s">
        <v>183</v>
      </c>
      <c r="B2" s="33"/>
      <c r="C2" s="33"/>
      <c r="D2" s="33"/>
      <c r="E2" s="33"/>
      <c r="F2" s="33"/>
      <c r="G2" s="33"/>
    </row>
    <row r="4" spans="1:7" ht="20" customHeight="1" x14ac:dyDescent="0.35">
      <c r="A4" s="56" t="s">
        <v>184</v>
      </c>
      <c r="B4" s="33"/>
      <c r="C4" s="33"/>
      <c r="D4" s="33"/>
      <c r="E4" s="33"/>
      <c r="F4" s="33"/>
      <c r="G4" s="33"/>
    </row>
    <row r="5" spans="1:7" ht="18" customHeight="1" x14ac:dyDescent="0.35">
      <c r="A5" s="54" t="s">
        <v>185</v>
      </c>
      <c r="B5" s="33"/>
      <c r="C5" s="33"/>
      <c r="D5" s="33"/>
      <c r="E5" s="33"/>
      <c r="F5" s="33"/>
      <c r="G5" s="33"/>
    </row>
    <row r="6" spans="1:7" x14ac:dyDescent="0.35">
      <c r="A6" s="22" t="s">
        <v>120</v>
      </c>
      <c r="B6" s="22" t="s">
        <v>121</v>
      </c>
      <c r="C6" s="42" t="s">
        <v>186</v>
      </c>
      <c r="D6" s="43"/>
      <c r="E6" s="43"/>
      <c r="F6" s="43"/>
      <c r="G6" s="44"/>
    </row>
    <row r="7" spans="1:7" ht="28" customHeight="1" x14ac:dyDescent="0.35">
      <c r="A7" s="23" t="s">
        <v>187</v>
      </c>
      <c r="B7" s="3" t="s">
        <v>188</v>
      </c>
      <c r="C7" s="40" t="s">
        <v>189</v>
      </c>
      <c r="D7" s="33"/>
      <c r="E7" s="33"/>
      <c r="F7" s="33"/>
      <c r="G7" s="33"/>
    </row>
    <row r="8" spans="1:7" ht="28" customHeight="1" x14ac:dyDescent="0.35">
      <c r="A8" s="24" t="s">
        <v>190</v>
      </c>
      <c r="B8" s="14" t="s">
        <v>191</v>
      </c>
      <c r="C8" s="47" t="s">
        <v>192</v>
      </c>
      <c r="D8" s="33"/>
      <c r="E8" s="33"/>
      <c r="F8" s="33"/>
      <c r="G8" s="33"/>
    </row>
    <row r="9" spans="1:7" ht="28" customHeight="1" x14ac:dyDescent="0.35">
      <c r="A9" s="23" t="s">
        <v>129</v>
      </c>
      <c r="B9" s="3" t="s">
        <v>193</v>
      </c>
      <c r="C9" s="40" t="s">
        <v>194</v>
      </c>
      <c r="D9" s="33"/>
      <c r="E9" s="33"/>
      <c r="F9" s="33"/>
      <c r="G9" s="33"/>
    </row>
    <row r="10" spans="1:7" ht="28" customHeight="1" x14ac:dyDescent="0.35">
      <c r="A10" s="24" t="s">
        <v>195</v>
      </c>
      <c r="B10" s="14" t="s">
        <v>196</v>
      </c>
      <c r="C10" s="47" t="s">
        <v>197</v>
      </c>
      <c r="D10" s="33"/>
      <c r="E10" s="33"/>
      <c r="F10" s="33"/>
      <c r="G10" s="33"/>
    </row>
    <row r="11" spans="1:7" ht="28" customHeight="1" x14ac:dyDescent="0.35">
      <c r="A11" s="23" t="s">
        <v>198</v>
      </c>
      <c r="B11" s="3" t="s">
        <v>199</v>
      </c>
      <c r="C11" s="40" t="s">
        <v>200</v>
      </c>
      <c r="D11" s="33"/>
      <c r="E11" s="33"/>
      <c r="F11" s="33"/>
      <c r="G11" s="33"/>
    </row>
    <row r="13" spans="1:7" ht="20" customHeight="1" x14ac:dyDescent="0.35">
      <c r="A13" s="57" t="s">
        <v>201</v>
      </c>
      <c r="B13" s="33"/>
      <c r="C13" s="33"/>
      <c r="D13" s="33"/>
      <c r="E13" s="33"/>
      <c r="F13" s="33"/>
      <c r="G13" s="33"/>
    </row>
    <row r="14" spans="1:7" ht="18" customHeight="1" x14ac:dyDescent="0.35">
      <c r="A14" s="54" t="s">
        <v>202</v>
      </c>
      <c r="B14" s="33"/>
      <c r="C14" s="33"/>
      <c r="D14" s="33"/>
      <c r="E14" s="33"/>
      <c r="F14" s="33"/>
      <c r="G14" s="33"/>
    </row>
    <row r="15" spans="1:7" x14ac:dyDescent="0.35">
      <c r="A15" s="22" t="s">
        <v>120</v>
      </c>
      <c r="B15" s="22" t="s">
        <v>121</v>
      </c>
      <c r="C15" s="42" t="s">
        <v>186</v>
      </c>
      <c r="D15" s="43"/>
      <c r="E15" s="43"/>
      <c r="F15" s="43"/>
      <c r="G15" s="44"/>
    </row>
    <row r="16" spans="1:7" ht="28" customHeight="1" x14ac:dyDescent="0.35">
      <c r="A16" s="23" t="s">
        <v>187</v>
      </c>
      <c r="B16" s="3" t="s">
        <v>203</v>
      </c>
      <c r="C16" s="40" t="s">
        <v>266</v>
      </c>
      <c r="D16" s="33"/>
      <c r="E16" s="33"/>
      <c r="F16" s="33"/>
      <c r="G16" s="33"/>
    </row>
    <row r="17" spans="1:7" ht="28" customHeight="1" x14ac:dyDescent="0.35">
      <c r="A17" s="24" t="s">
        <v>190</v>
      </c>
      <c r="B17" s="14" t="s">
        <v>204</v>
      </c>
      <c r="C17" s="47" t="s">
        <v>205</v>
      </c>
      <c r="D17" s="33"/>
      <c r="E17" s="33"/>
      <c r="F17" s="33"/>
      <c r="G17" s="33"/>
    </row>
    <row r="18" spans="1:7" ht="28" customHeight="1" x14ac:dyDescent="0.35">
      <c r="A18" s="23" t="s">
        <v>129</v>
      </c>
      <c r="B18" s="3" t="s">
        <v>267</v>
      </c>
      <c r="C18" s="40" t="s">
        <v>206</v>
      </c>
      <c r="D18" s="33"/>
      <c r="E18" s="33"/>
      <c r="F18" s="33"/>
      <c r="G18" s="33"/>
    </row>
    <row r="19" spans="1:7" ht="28" customHeight="1" x14ac:dyDescent="0.35">
      <c r="A19" s="24" t="s">
        <v>195</v>
      </c>
      <c r="B19" s="14" t="s">
        <v>207</v>
      </c>
      <c r="C19" s="47" t="s">
        <v>208</v>
      </c>
      <c r="D19" s="33"/>
      <c r="E19" s="33"/>
      <c r="F19" s="33"/>
      <c r="G19" s="33"/>
    </row>
    <row r="20" spans="1:7" ht="28" customHeight="1" x14ac:dyDescent="0.35">
      <c r="A20" s="23" t="s">
        <v>198</v>
      </c>
      <c r="B20" s="3" t="s">
        <v>209</v>
      </c>
      <c r="C20" s="40" t="s">
        <v>210</v>
      </c>
      <c r="D20" s="33"/>
      <c r="E20" s="33"/>
      <c r="F20" s="33"/>
      <c r="G20" s="33"/>
    </row>
    <row r="22" spans="1:7" ht="20" customHeight="1" x14ac:dyDescent="0.35">
      <c r="A22" s="59" t="s">
        <v>211</v>
      </c>
      <c r="B22" s="33"/>
      <c r="C22" s="33"/>
      <c r="D22" s="33"/>
      <c r="E22" s="33"/>
      <c r="F22" s="33"/>
      <c r="G22" s="33"/>
    </row>
    <row r="23" spans="1:7" ht="18" customHeight="1" x14ac:dyDescent="0.35">
      <c r="A23" s="54" t="s">
        <v>212</v>
      </c>
      <c r="B23" s="33"/>
      <c r="C23" s="33"/>
      <c r="D23" s="33"/>
      <c r="E23" s="33"/>
      <c r="F23" s="33"/>
      <c r="G23" s="33"/>
    </row>
    <row r="24" spans="1:7" x14ac:dyDescent="0.35">
      <c r="A24" s="22" t="s">
        <v>120</v>
      </c>
      <c r="B24" s="22" t="s">
        <v>121</v>
      </c>
      <c r="C24" s="42" t="s">
        <v>186</v>
      </c>
      <c r="D24" s="43"/>
      <c r="E24" s="43"/>
      <c r="F24" s="43"/>
      <c r="G24" s="44"/>
    </row>
    <row r="25" spans="1:7" ht="28" customHeight="1" x14ac:dyDescent="0.35">
      <c r="A25" s="23" t="s">
        <v>187</v>
      </c>
      <c r="B25" s="3" t="s">
        <v>213</v>
      </c>
      <c r="C25" s="40" t="s">
        <v>214</v>
      </c>
      <c r="D25" s="33"/>
      <c r="E25" s="33"/>
      <c r="F25" s="33"/>
      <c r="G25" s="33"/>
    </row>
    <row r="26" spans="1:7" ht="28" customHeight="1" x14ac:dyDescent="0.35">
      <c r="A26" s="24" t="s">
        <v>190</v>
      </c>
      <c r="B26" s="14" t="s">
        <v>215</v>
      </c>
      <c r="C26" s="47" t="s">
        <v>216</v>
      </c>
      <c r="D26" s="33"/>
      <c r="E26" s="33"/>
      <c r="F26" s="33"/>
      <c r="G26" s="33"/>
    </row>
    <row r="27" spans="1:7" ht="28" customHeight="1" x14ac:dyDescent="0.35">
      <c r="A27" s="23" t="s">
        <v>129</v>
      </c>
      <c r="B27" s="3" t="s">
        <v>217</v>
      </c>
      <c r="C27" s="40" t="s">
        <v>218</v>
      </c>
      <c r="D27" s="33"/>
      <c r="E27" s="33"/>
      <c r="F27" s="33"/>
      <c r="G27" s="33"/>
    </row>
    <row r="28" spans="1:7" ht="28" customHeight="1" x14ac:dyDescent="0.35">
      <c r="A28" s="24" t="s">
        <v>195</v>
      </c>
      <c r="B28" s="14" t="s">
        <v>219</v>
      </c>
      <c r="C28" s="47" t="s">
        <v>220</v>
      </c>
      <c r="D28" s="33"/>
      <c r="E28" s="33"/>
      <c r="F28" s="33"/>
      <c r="G28" s="33"/>
    </row>
    <row r="29" spans="1:7" ht="28" customHeight="1" x14ac:dyDescent="0.35">
      <c r="A29" s="23" t="s">
        <v>198</v>
      </c>
      <c r="B29" s="3" t="s">
        <v>221</v>
      </c>
      <c r="C29" s="40" t="s">
        <v>222</v>
      </c>
      <c r="D29" s="33"/>
      <c r="E29" s="33"/>
      <c r="F29" s="33"/>
      <c r="G29" s="33"/>
    </row>
    <row r="31" spans="1:7" ht="20" customHeight="1" x14ac:dyDescent="0.35">
      <c r="A31" s="58" t="s">
        <v>223</v>
      </c>
      <c r="B31" s="33"/>
      <c r="C31" s="33"/>
      <c r="D31" s="33"/>
      <c r="E31" s="33"/>
      <c r="F31" s="33"/>
      <c r="G31" s="33"/>
    </row>
    <row r="32" spans="1:7" ht="18" customHeight="1" x14ac:dyDescent="0.35">
      <c r="A32" s="54" t="s">
        <v>224</v>
      </c>
      <c r="B32" s="33"/>
      <c r="C32" s="33"/>
      <c r="D32" s="33"/>
      <c r="E32" s="33"/>
      <c r="F32" s="33"/>
      <c r="G32" s="33"/>
    </row>
    <row r="33" spans="1:7" x14ac:dyDescent="0.35">
      <c r="A33" s="22" t="s">
        <v>120</v>
      </c>
      <c r="B33" s="22" t="s">
        <v>121</v>
      </c>
      <c r="C33" s="42" t="s">
        <v>186</v>
      </c>
      <c r="D33" s="43"/>
      <c r="E33" s="43"/>
      <c r="F33" s="43"/>
      <c r="G33" s="44"/>
    </row>
    <row r="34" spans="1:7" ht="28" customHeight="1" x14ac:dyDescent="0.35">
      <c r="A34" s="23" t="s">
        <v>187</v>
      </c>
      <c r="B34" s="3" t="s">
        <v>225</v>
      </c>
      <c r="C34" s="40" t="s">
        <v>226</v>
      </c>
      <c r="D34" s="33"/>
      <c r="E34" s="33"/>
      <c r="F34" s="33"/>
      <c r="G34" s="33"/>
    </row>
    <row r="35" spans="1:7" ht="28" customHeight="1" x14ac:dyDescent="0.35">
      <c r="A35" s="24" t="s">
        <v>190</v>
      </c>
      <c r="B35" s="14" t="s">
        <v>227</v>
      </c>
      <c r="C35" s="47" t="s">
        <v>228</v>
      </c>
      <c r="D35" s="33"/>
      <c r="E35" s="33"/>
      <c r="F35" s="33"/>
      <c r="G35" s="33"/>
    </row>
    <row r="36" spans="1:7" ht="28" customHeight="1" x14ac:dyDescent="0.35">
      <c r="A36" s="23" t="s">
        <v>129</v>
      </c>
      <c r="B36" s="3" t="s">
        <v>229</v>
      </c>
      <c r="C36" s="40" t="s">
        <v>230</v>
      </c>
      <c r="D36" s="33"/>
      <c r="E36" s="33"/>
      <c r="F36" s="33"/>
      <c r="G36" s="33"/>
    </row>
    <row r="37" spans="1:7" ht="28" customHeight="1" x14ac:dyDescent="0.35">
      <c r="A37" s="24" t="s">
        <v>195</v>
      </c>
      <c r="B37" s="14" t="s">
        <v>231</v>
      </c>
      <c r="C37" s="47" t="s">
        <v>232</v>
      </c>
      <c r="D37" s="33"/>
      <c r="E37" s="33"/>
      <c r="F37" s="33"/>
      <c r="G37" s="33"/>
    </row>
    <row r="38" spans="1:7" ht="28" customHeight="1" x14ac:dyDescent="0.35">
      <c r="A38" s="23" t="s">
        <v>198</v>
      </c>
      <c r="B38" s="3" t="s">
        <v>233</v>
      </c>
      <c r="C38" s="40" t="s">
        <v>234</v>
      </c>
      <c r="D38" s="33"/>
      <c r="E38" s="33"/>
      <c r="F38" s="33"/>
      <c r="G38" s="33"/>
    </row>
  </sheetData>
  <mergeCells count="34">
    <mergeCell ref="C15:G15"/>
    <mergeCell ref="C33:G33"/>
    <mergeCell ref="A1:G1"/>
    <mergeCell ref="C11:G11"/>
    <mergeCell ref="C27:G27"/>
    <mergeCell ref="C36:G36"/>
    <mergeCell ref="C8:G8"/>
    <mergeCell ref="C17:G17"/>
    <mergeCell ref="C7:G7"/>
    <mergeCell ref="A4:G4"/>
    <mergeCell ref="C26:G26"/>
    <mergeCell ref="A13:G13"/>
    <mergeCell ref="C29:G29"/>
    <mergeCell ref="C35:G35"/>
    <mergeCell ref="C20:G20"/>
    <mergeCell ref="A31:G31"/>
    <mergeCell ref="C10:G10"/>
    <mergeCell ref="C16:G16"/>
    <mergeCell ref="C38:G38"/>
    <mergeCell ref="C28:G28"/>
    <mergeCell ref="C19:G19"/>
    <mergeCell ref="A2:G2"/>
    <mergeCell ref="C37:G37"/>
    <mergeCell ref="C18:G18"/>
    <mergeCell ref="A5:G5"/>
    <mergeCell ref="A23:G23"/>
    <mergeCell ref="C25:G25"/>
    <mergeCell ref="C9:G9"/>
    <mergeCell ref="A32:G32"/>
    <mergeCell ref="A14:G14"/>
    <mergeCell ref="C34:G34"/>
    <mergeCell ref="C6:G6"/>
    <mergeCell ref="C24:G24"/>
    <mergeCell ref="A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G5" sqref="G5"/>
    </sheetView>
  </sheetViews>
  <sheetFormatPr defaultRowHeight="14.5" x14ac:dyDescent="0.35"/>
  <cols>
    <col min="1" max="1" width="12" customWidth="1"/>
    <col min="2" max="6" width="14" customWidth="1"/>
  </cols>
  <sheetData>
    <row r="1" spans="1:7" ht="28" customHeight="1" x14ac:dyDescent="0.35">
      <c r="B1" s="61" t="s">
        <v>270</v>
      </c>
      <c r="C1" s="33"/>
      <c r="D1" s="33"/>
      <c r="E1" s="33"/>
      <c r="F1" s="33"/>
      <c r="G1" s="33"/>
    </row>
    <row r="3" spans="1:7" ht="23" x14ac:dyDescent="0.35">
      <c r="A3" s="22" t="s">
        <v>271</v>
      </c>
      <c r="B3" s="9" t="s">
        <v>235</v>
      </c>
      <c r="C3" s="9" t="s">
        <v>236</v>
      </c>
      <c r="D3" s="9" t="s">
        <v>237</v>
      </c>
      <c r="E3" s="9" t="s">
        <v>238</v>
      </c>
      <c r="F3" s="9" t="s">
        <v>239</v>
      </c>
      <c r="G3" s="9" t="s">
        <v>240</v>
      </c>
    </row>
    <row r="4" spans="1:7" ht="40" customHeight="1" x14ac:dyDescent="0.35">
      <c r="A4" s="7" t="s">
        <v>239</v>
      </c>
      <c r="B4" s="25" t="s">
        <v>241</v>
      </c>
      <c r="C4" s="20" t="s">
        <v>242</v>
      </c>
      <c r="D4" s="18" t="s">
        <v>243</v>
      </c>
      <c r="E4" s="1" t="s">
        <v>244</v>
      </c>
      <c r="F4" s="1" t="s">
        <v>245</v>
      </c>
    </row>
    <row r="5" spans="1:7" ht="40" customHeight="1" x14ac:dyDescent="0.35">
      <c r="A5" s="7" t="s">
        <v>238</v>
      </c>
      <c r="B5" s="25" t="s">
        <v>246</v>
      </c>
      <c r="C5" s="20" t="s">
        <v>247</v>
      </c>
      <c r="D5" s="18" t="s">
        <v>248</v>
      </c>
      <c r="E5" s="18" t="s">
        <v>249</v>
      </c>
      <c r="F5" s="1" t="s">
        <v>244</v>
      </c>
    </row>
    <row r="6" spans="1:7" ht="40" customHeight="1" x14ac:dyDescent="0.35">
      <c r="A6" s="7" t="s">
        <v>237</v>
      </c>
      <c r="B6" s="25" t="s">
        <v>250</v>
      </c>
      <c r="C6" s="20" t="s">
        <v>251</v>
      </c>
      <c r="D6" s="20" t="s">
        <v>252</v>
      </c>
      <c r="E6" s="18" t="s">
        <v>248</v>
      </c>
      <c r="F6" s="18" t="s">
        <v>243</v>
      </c>
    </row>
    <row r="7" spans="1:7" ht="40" customHeight="1" x14ac:dyDescent="0.35">
      <c r="A7" s="7" t="s">
        <v>236</v>
      </c>
      <c r="B7" s="25" t="s">
        <v>253</v>
      </c>
      <c r="C7" s="25" t="s">
        <v>246</v>
      </c>
      <c r="D7" s="20" t="s">
        <v>251</v>
      </c>
      <c r="E7" s="20" t="s">
        <v>247</v>
      </c>
      <c r="F7" s="20" t="s">
        <v>242</v>
      </c>
    </row>
    <row r="8" spans="1:7" ht="40" customHeight="1" x14ac:dyDescent="0.35">
      <c r="A8" s="7" t="s">
        <v>235</v>
      </c>
      <c r="B8" s="25" t="s">
        <v>254</v>
      </c>
      <c r="C8" s="25" t="s">
        <v>253</v>
      </c>
      <c r="D8" s="25" t="s">
        <v>250</v>
      </c>
      <c r="E8" s="25" t="s">
        <v>246</v>
      </c>
      <c r="F8" s="25" t="s">
        <v>241</v>
      </c>
    </row>
    <row r="10" spans="1:7" x14ac:dyDescent="0.35">
      <c r="B10" s="60" t="s">
        <v>255</v>
      </c>
      <c r="C10" s="33"/>
    </row>
    <row r="11" spans="1:7" x14ac:dyDescent="0.35">
      <c r="B11" s="4" t="s">
        <v>256</v>
      </c>
      <c r="C11" s="26" t="s">
        <v>257</v>
      </c>
    </row>
    <row r="12" spans="1:7" x14ac:dyDescent="0.35">
      <c r="B12" s="19" t="s">
        <v>258</v>
      </c>
      <c r="C12" s="27" t="s">
        <v>259</v>
      </c>
    </row>
    <row r="13" spans="1:7" x14ac:dyDescent="0.35">
      <c r="B13" s="21" t="s">
        <v>260</v>
      </c>
      <c r="C13" s="28" t="s">
        <v>261</v>
      </c>
    </row>
    <row r="14" spans="1:7" x14ac:dyDescent="0.35">
      <c r="B14" s="29" t="s">
        <v>262</v>
      </c>
      <c r="C14" s="30" t="s">
        <v>263</v>
      </c>
    </row>
  </sheetData>
  <mergeCells count="2">
    <mergeCell ref="B10:C10"/>
    <mergeCell ref="B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Risk Register</vt:lpstr>
      <vt:lpstr>Likelihood Guide</vt:lpstr>
      <vt:lpstr>Impact Guide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Aadhavan GS [EXT]</cp:lastModifiedBy>
  <dcterms:created xsi:type="dcterms:W3CDTF">2026-07-10T07:02:35Z</dcterms:created>
  <dcterms:modified xsi:type="dcterms:W3CDTF">2026-07-14T18:38:17Z</dcterms:modified>
</cp:coreProperties>
</file>